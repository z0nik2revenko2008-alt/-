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nik\Downloads\"/>
    </mc:Choice>
  </mc:AlternateContent>
  <xr:revisionPtr revIDLastSave="0" documentId="13_ncr:1_{BBB7F2F3-852D-4D97-BEB7-5A17B5AC9722}" xr6:coauthVersionLast="47" xr6:coauthVersionMax="47" xr10:uidLastSave="{00000000-0000-0000-0000-000000000000}"/>
  <bookViews>
    <workbookView xWindow="-110" yWindow="-110" windowWidth="25820" windowHeight="13900" xr2:uid="{AD4297F2-1C7E-4474-A89D-3CBBDDD5AB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  <c r="H3" i="1"/>
  <c r="H2" i="1"/>
  <c r="F3" i="1"/>
  <c r="G3" i="1" s="1"/>
  <c r="F4" i="1"/>
  <c r="F5" i="1"/>
  <c r="G5" i="1" s="1"/>
  <c r="F6" i="1"/>
  <c r="F7" i="1"/>
  <c r="G7" i="1" s="1"/>
  <c r="F8" i="1"/>
  <c r="G8" i="1" s="1"/>
  <c r="F9" i="1"/>
  <c r="G9" i="1" s="1"/>
  <c r="F10" i="1"/>
  <c r="G10" i="1" s="1"/>
  <c r="F11" i="1"/>
  <c r="G11" i="1" s="1"/>
  <c r="F2" i="1"/>
  <c r="G2" i="1" s="1"/>
  <c r="B13" i="1" l="1"/>
  <c r="G6" i="1"/>
  <c r="I6" i="1" s="1"/>
  <c r="I10" i="1"/>
  <c r="I9" i="1"/>
  <c r="G4" i="1"/>
  <c r="I4" i="1" s="1"/>
  <c r="I7" i="1"/>
  <c r="I5" i="1"/>
  <c r="I8" i="1"/>
  <c r="I11" i="1"/>
  <c r="I3" i="1"/>
  <c r="I2" i="1"/>
  <c r="B14" i="1"/>
  <c r="B15" i="1"/>
</calcChain>
</file>

<file path=xl/sharedStrings.xml><?xml version="1.0" encoding="utf-8"?>
<sst xmlns="http://schemas.openxmlformats.org/spreadsheetml/2006/main" count="22" uniqueCount="16">
  <si>
    <t>№
п/п</t>
  </si>
  <si>
    <t>Наименование</t>
  </si>
  <si>
    <t>Стоимость проката 
в сутки</t>
  </si>
  <si>
    <t>Дата выдачи</t>
  </si>
  <si>
    <t>Дата Сдачи</t>
  </si>
  <si>
    <t>Просрочено 
дней</t>
  </si>
  <si>
    <t>Пеня</t>
  </si>
  <si>
    <t>Дней в 
Прокате</t>
  </si>
  <si>
    <t>Просроченных 
заказов:</t>
  </si>
  <si>
    <t>Минимальное
количество дней в прокате:</t>
  </si>
  <si>
    <t>Максимальное количество 
дней в прокате:</t>
  </si>
  <si>
    <t>Велосипед Stark Tactic FS 29.4 HD, серый матовый/серебристый металлик, 20'' (HQ-0014191)</t>
  </si>
  <si>
    <t>Велосипед горный женский Merida Matts 7.70 27.5"</t>
  </si>
  <si>
    <t>Складной велосипед Aspect KOMODO 3 - 24'', Dark Blue (A24KOM324.SIN)</t>
  </si>
  <si>
    <t>Велосипед Stark Jumper FS 27.1 D 20 (HQ-0014125) оранжевый</t>
  </si>
  <si>
    <t>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</si>
</sst>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0007-833F-4825-8F98-E375E1A912B4}">
  <dimension ref="A1:J15"/>
  <sheetViews>
    <sheetView tabSelected="1" workbookViewId="0">
      <selection activeCell="I1" sqref="I1"/>
    </sheetView>
  </sheetViews>
  <sheetFormatPr defaultRowHeight="14.5" x14ac:dyDescent="0.35"/>
  <cols>
    <col min="1" max="1" width="15.7265625" customWidth="1"/>
    <col min="2" max="2" width="96.26953125" customWidth="1"/>
    <col min="3" max="3" width="14.81640625" customWidth="1"/>
    <col min="4" max="4" width="13.1796875" customWidth="1"/>
    <col min="5" max="5" width="10.453125" customWidth="1"/>
    <col min="6" max="6" width="11.81640625" customWidth="1"/>
    <col min="8" max="8" width="14" customWidth="1"/>
    <col min="9" max="9" width="11.26953125" customWidth="1"/>
  </cols>
  <sheetData>
    <row r="1" spans="1:10" ht="42.75" customHeight="1" x14ac:dyDescent="0.3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15</v>
      </c>
      <c r="J1" s="2"/>
    </row>
    <row r="2" spans="1:10" ht="15.5" x14ac:dyDescent="0.35">
      <c r="B2" s="4" t="s">
        <v>11</v>
      </c>
      <c r="C2">
        <v>200</v>
      </c>
      <c r="D2" s="5">
        <v>45536</v>
      </c>
      <c r="E2" s="5">
        <v>45545</v>
      </c>
      <c r="F2">
        <f ca="1">MAX(0, TODAY()-E2)</f>
        <v>23</v>
      </c>
      <c r="G2" s="6">
        <f ca="1">IF(F2 &lt; 5, C2 * F2 * 0.0005, IF(F2 &lt;= 10, C2 * (5 * 0.0005 + (F2 - 5) * 0.001), C2 * (5 * 0.0005 + 5 * 0.001 + (F2 - 10) * 0.003)))</f>
        <v>9.3000000000000007</v>
      </c>
      <c r="H2">
        <f>E2-D2</f>
        <v>9</v>
      </c>
      <c r="I2">
        <f ca="1">C2*H2+G2</f>
        <v>1809.3</v>
      </c>
      <c r="J2" s="3"/>
    </row>
    <row r="3" spans="1:10" ht="15.5" x14ac:dyDescent="0.35">
      <c r="B3" s="4" t="s">
        <v>11</v>
      </c>
      <c r="C3">
        <v>280</v>
      </c>
      <c r="D3" s="5">
        <v>45505</v>
      </c>
      <c r="E3" s="5">
        <v>45514</v>
      </c>
      <c r="F3">
        <f t="shared" ref="F3:F11" ca="1" si="0">MAX(0, TODAY()-E3)</f>
        <v>54</v>
      </c>
      <c r="G3" s="6">
        <f t="shared" ref="G3:G11" ca="1" si="1">IF(F3 &lt; 5, C3 * F3 * 0.0005, IF(F3 &lt;= 10, C3 * (5 * 0.0005 + (F3 - 5) * 0.001), C3 * (5 * 0.0005 + 5 * 0.001 + (F3 - 10) * 0.003)))</f>
        <v>39.06</v>
      </c>
      <c r="H3">
        <f>E3-D3</f>
        <v>9</v>
      </c>
      <c r="I3">
        <f ca="1">C3*H3+G3</f>
        <v>2559.06</v>
      </c>
    </row>
    <row r="4" spans="1:10" ht="15.5" x14ac:dyDescent="0.35">
      <c r="B4" s="4" t="s">
        <v>11</v>
      </c>
      <c r="C4">
        <v>150</v>
      </c>
      <c r="D4" s="5">
        <v>45536</v>
      </c>
      <c r="E4" s="5">
        <v>45566</v>
      </c>
      <c r="F4">
        <f t="shared" ca="1" si="0"/>
        <v>2</v>
      </c>
      <c r="G4" s="6">
        <f t="shared" ca="1" si="1"/>
        <v>0.15</v>
      </c>
      <c r="H4">
        <f>E4-D4</f>
        <v>30</v>
      </c>
      <c r="I4">
        <f ca="1">C4*H4+G4</f>
        <v>4500.1499999999996</v>
      </c>
    </row>
    <row r="5" spans="1:10" ht="15.5" x14ac:dyDescent="0.35">
      <c r="B5" s="4" t="s">
        <v>12</v>
      </c>
      <c r="C5">
        <v>1000</v>
      </c>
      <c r="D5" s="5">
        <v>45562</v>
      </c>
      <c r="E5" s="5">
        <v>45568</v>
      </c>
      <c r="F5">
        <f t="shared" ca="1" si="0"/>
        <v>0</v>
      </c>
      <c r="G5" s="6">
        <f t="shared" ca="1" si="1"/>
        <v>0</v>
      </c>
      <c r="H5">
        <f t="shared" ref="H5:H11" si="2">E5-D5</f>
        <v>6</v>
      </c>
      <c r="I5">
        <f ca="1">C5*H5+G5</f>
        <v>6000</v>
      </c>
    </row>
    <row r="6" spans="1:10" ht="15.5" x14ac:dyDescent="0.35">
      <c r="B6" s="4" t="s">
        <v>12</v>
      </c>
      <c r="C6">
        <v>130</v>
      </c>
      <c r="D6" s="5">
        <v>45563</v>
      </c>
      <c r="E6" s="5">
        <v>45572</v>
      </c>
      <c r="F6">
        <f t="shared" ca="1" si="0"/>
        <v>0</v>
      </c>
      <c r="G6" s="6">
        <f t="shared" ca="1" si="1"/>
        <v>0</v>
      </c>
      <c r="H6">
        <f t="shared" si="2"/>
        <v>9</v>
      </c>
      <c r="I6">
        <f t="shared" ref="I6:I11" ca="1" si="3">C6*H6+G6</f>
        <v>1170</v>
      </c>
    </row>
    <row r="7" spans="1:10" ht="15.5" x14ac:dyDescent="0.35">
      <c r="B7" s="4" t="s">
        <v>13</v>
      </c>
      <c r="C7">
        <v>350</v>
      </c>
      <c r="D7" s="5">
        <v>45505</v>
      </c>
      <c r="E7" s="5">
        <v>45590</v>
      </c>
      <c r="F7">
        <f t="shared" ca="1" si="0"/>
        <v>0</v>
      </c>
      <c r="G7" s="6">
        <f t="shared" ca="1" si="1"/>
        <v>0</v>
      </c>
      <c r="H7">
        <f t="shared" si="2"/>
        <v>85</v>
      </c>
      <c r="I7">
        <f t="shared" ca="1" si="3"/>
        <v>29750</v>
      </c>
    </row>
    <row r="8" spans="1:10" ht="18" customHeight="1" x14ac:dyDescent="0.35">
      <c r="B8" s="4" t="s">
        <v>13</v>
      </c>
      <c r="C8">
        <v>100</v>
      </c>
      <c r="D8" s="5">
        <v>45560</v>
      </c>
      <c r="E8" s="5">
        <v>45568</v>
      </c>
      <c r="F8">
        <f t="shared" ca="1" si="0"/>
        <v>0</v>
      </c>
      <c r="G8" s="6">
        <f t="shared" ca="1" si="1"/>
        <v>0</v>
      </c>
      <c r="H8">
        <f t="shared" si="2"/>
        <v>8</v>
      </c>
      <c r="I8">
        <f t="shared" ca="1" si="3"/>
        <v>800</v>
      </c>
    </row>
    <row r="9" spans="1:10" ht="19.5" customHeight="1" x14ac:dyDescent="0.35">
      <c r="B9" s="4" t="s">
        <v>14</v>
      </c>
      <c r="C9">
        <v>200</v>
      </c>
      <c r="D9" s="5">
        <v>45545</v>
      </c>
      <c r="E9" s="5">
        <v>45565</v>
      </c>
      <c r="F9">
        <f t="shared" ca="1" si="0"/>
        <v>3</v>
      </c>
      <c r="G9" s="6">
        <f t="shared" ca="1" si="1"/>
        <v>0.3</v>
      </c>
      <c r="H9">
        <f t="shared" si="2"/>
        <v>20</v>
      </c>
      <c r="I9">
        <f t="shared" ca="1" si="3"/>
        <v>4000.3</v>
      </c>
    </row>
    <row r="10" spans="1:10" ht="15.5" x14ac:dyDescent="0.35">
      <c r="B10" s="4" t="s">
        <v>14</v>
      </c>
      <c r="C10">
        <v>270</v>
      </c>
      <c r="D10" s="5">
        <v>45550</v>
      </c>
      <c r="E10" s="5">
        <v>45560</v>
      </c>
      <c r="F10">
        <f t="shared" ca="1" si="0"/>
        <v>8</v>
      </c>
      <c r="G10" s="6">
        <f t="shared" ca="1" si="1"/>
        <v>1.4849999999999999</v>
      </c>
      <c r="H10">
        <f t="shared" si="2"/>
        <v>10</v>
      </c>
      <c r="I10">
        <f t="shared" ca="1" si="3"/>
        <v>2701.4850000000001</v>
      </c>
    </row>
    <row r="11" spans="1:10" ht="15.5" x14ac:dyDescent="0.35">
      <c r="B11" s="4" t="s">
        <v>14</v>
      </c>
      <c r="C11">
        <v>150</v>
      </c>
      <c r="D11" s="5">
        <v>45550</v>
      </c>
      <c r="E11" s="5">
        <v>45566</v>
      </c>
      <c r="F11">
        <f t="shared" ca="1" si="0"/>
        <v>2</v>
      </c>
      <c r="G11" s="6">
        <f t="shared" ca="1" si="1"/>
        <v>0.15</v>
      </c>
      <c r="H11">
        <f t="shared" si="2"/>
        <v>16</v>
      </c>
      <c r="I11">
        <f t="shared" ca="1" si="3"/>
        <v>2400.15</v>
      </c>
    </row>
    <row r="13" spans="1:10" ht="29" x14ac:dyDescent="0.35">
      <c r="A13" s="1" t="s">
        <v>8</v>
      </c>
      <c r="B13">
        <f ca="1">COUNTIF(F2:F11, "&gt;0")</f>
        <v>6</v>
      </c>
    </row>
    <row r="14" spans="1:10" ht="43.5" x14ac:dyDescent="0.35">
      <c r="A14" s="1" t="s">
        <v>9</v>
      </c>
      <c r="B14">
        <f>MIN(H2:H11)</f>
        <v>6</v>
      </c>
    </row>
    <row r="15" spans="1:10" ht="43.5" x14ac:dyDescent="0.35">
      <c r="A15" s="1" t="s">
        <v>10</v>
      </c>
      <c r="B15">
        <f>MAX(H2:H11)</f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cp:lastPrinted>2024-09-26T01:58:38Z</cp:lastPrinted>
  <dcterms:created xsi:type="dcterms:W3CDTF">2024-09-26T00:30:56Z</dcterms:created>
  <dcterms:modified xsi:type="dcterms:W3CDTF">2024-10-03T13:09:26Z</dcterms:modified>
</cp:coreProperties>
</file>