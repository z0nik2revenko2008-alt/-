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0nik\Downloads\"/>
    </mc:Choice>
  </mc:AlternateContent>
  <xr:revisionPtr revIDLastSave="0" documentId="13_ncr:1_{B91CB3CA-A897-4CEA-838C-EAD9DC09FBA9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Зарплата октябрь" sheetId="1" r:id="rId1"/>
    <sheet name="Зарплата ноябрь" sheetId="2" r:id="rId2"/>
    <sheet name="Зарплата декабрь" sheetId="3" r:id="rId3"/>
    <sheet name="Итоги за квартал" sheetId="4" r:id="rId4"/>
  </sheets>
  <definedNames>
    <definedName name="_xlchart.v1.0" hidden="1">'Зарплата ноябрь'!$M$5:$M$18</definedName>
    <definedName name="_xlchart.v1.1" hidden="1">'Зарплата ноябрь'!$N$5:$N$18</definedName>
    <definedName name="_xlnm._FilterDatabase" localSheetId="2" hidden="1">'Зарплата декабрь'!$A$4:$H$18</definedName>
    <definedName name="_xlnm._FilterDatabase" localSheetId="1" hidden="1">'Зарплата ноябрь'!$A$4:$H$18</definedName>
    <definedName name="_xlnm._FilterDatabase" localSheetId="0" hidden="1">'Зарплата октябрь'!$A$4:$G$18</definedName>
    <definedName name="_xlnm._FilterDatabase" localSheetId="3" hidden="1">'Итоги за квартал'!$A$4:$F$18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4" l="1"/>
  <c r="D8" i="4"/>
  <c r="D22" i="4" s="1"/>
  <c r="D14" i="4"/>
  <c r="C15" i="4"/>
  <c r="E15" i="4"/>
  <c r="F15" i="4" s="1"/>
  <c r="C16" i="4"/>
  <c r="E16" i="4"/>
  <c r="F16" i="4" s="1"/>
  <c r="C17" i="4"/>
  <c r="E17" i="4"/>
  <c r="F17" i="4"/>
  <c r="C18" i="4"/>
  <c r="E18" i="4"/>
  <c r="F18" i="4"/>
  <c r="C19" i="4"/>
  <c r="E19" i="4"/>
  <c r="F19" i="4" s="1"/>
  <c r="C20" i="4"/>
  <c r="E20" i="4"/>
  <c r="F20" i="4" s="1"/>
  <c r="C9" i="4"/>
  <c r="E9" i="4"/>
  <c r="E14" i="4" s="1"/>
  <c r="F9" i="4"/>
  <c r="C10" i="4"/>
  <c r="E10" i="4"/>
  <c r="F10" i="4" s="1"/>
  <c r="C11" i="4"/>
  <c r="E11" i="4"/>
  <c r="F11" i="4"/>
  <c r="C12" i="4"/>
  <c r="E12" i="4"/>
  <c r="F12" i="4" s="1"/>
  <c r="C13" i="4"/>
  <c r="E13" i="4"/>
  <c r="F13" i="4" s="1"/>
  <c r="F5" i="4"/>
  <c r="F8" i="4" s="1"/>
  <c r="F6" i="4"/>
  <c r="E5" i="4"/>
  <c r="E8" i="4" s="1"/>
  <c r="E6" i="4"/>
  <c r="E7" i="4"/>
  <c r="F7" i="4" s="1"/>
  <c r="C5" i="4"/>
  <c r="C6" i="4"/>
  <c r="C7" i="4"/>
  <c r="C19" i="3"/>
  <c r="E18" i="3"/>
  <c r="D18" i="3"/>
  <c r="E17" i="3"/>
  <c r="D17" i="3"/>
  <c r="F17" i="3" s="1"/>
  <c r="E16" i="3"/>
  <c r="D16" i="3"/>
  <c r="E15" i="3"/>
  <c r="D15" i="3"/>
  <c r="E14" i="3"/>
  <c r="D14" i="3"/>
  <c r="E13" i="3"/>
  <c r="D13" i="3"/>
  <c r="E12" i="3"/>
  <c r="D12" i="3"/>
  <c r="F12" i="3" s="1"/>
  <c r="E11" i="3"/>
  <c r="D11" i="3"/>
  <c r="E10" i="3"/>
  <c r="D10" i="3"/>
  <c r="E9" i="3"/>
  <c r="D9" i="3"/>
  <c r="F9" i="3" s="1"/>
  <c r="E8" i="3"/>
  <c r="D8" i="3"/>
  <c r="E7" i="3"/>
  <c r="D7" i="3"/>
  <c r="F7" i="3" s="1"/>
  <c r="E6" i="3"/>
  <c r="D6" i="3"/>
  <c r="E5" i="3"/>
  <c r="D5" i="3"/>
  <c r="C19" i="2"/>
  <c r="D19" i="2"/>
  <c r="E9" i="2"/>
  <c r="E11" i="2"/>
  <c r="E18" i="2"/>
  <c r="E15" i="2"/>
  <c r="E16" i="2"/>
  <c r="E14" i="2"/>
  <c r="E12" i="2"/>
  <c r="E8" i="2"/>
  <c r="E10" i="2"/>
  <c r="E13" i="2"/>
  <c r="E7" i="2"/>
  <c r="E17" i="2"/>
  <c r="D14" i="2"/>
  <c r="D13" i="2"/>
  <c r="D16" i="2"/>
  <c r="D9" i="2"/>
  <c r="E5" i="2"/>
  <c r="E6" i="2"/>
  <c r="E19" i="2" s="1"/>
  <c r="D6" i="2"/>
  <c r="D18" i="2"/>
  <c r="D12" i="2"/>
  <c r="D8" i="2"/>
  <c r="D15" i="2"/>
  <c r="D11" i="2"/>
  <c r="D17" i="2"/>
  <c r="D10" i="2"/>
  <c r="D5" i="2"/>
  <c r="D7" i="2"/>
  <c r="F21" i="4" l="1"/>
  <c r="F14" i="4"/>
  <c r="F22" i="4" s="1"/>
  <c r="F5" i="3"/>
  <c r="F13" i="3"/>
  <c r="F14" i="2"/>
  <c r="G14" i="2" s="1"/>
  <c r="F15" i="3"/>
  <c r="G15" i="3" s="1"/>
  <c r="F6" i="2"/>
  <c r="F11" i="3"/>
  <c r="G11" i="3" s="1"/>
  <c r="E21" i="4"/>
  <c r="E22" i="4" s="1"/>
  <c r="F8" i="3"/>
  <c r="F14" i="3"/>
  <c r="E19" i="3"/>
  <c r="F10" i="3"/>
  <c r="F16" i="3"/>
  <c r="F18" i="3"/>
  <c r="G9" i="3"/>
  <c r="H9" i="3" s="1"/>
  <c r="G16" i="3"/>
  <c r="G17" i="3"/>
  <c r="H17" i="3" s="1"/>
  <c r="G12" i="3"/>
  <c r="H12" i="3" s="1"/>
  <c r="G7" i="3"/>
  <c r="H7" i="3" s="1"/>
  <c r="D19" i="3"/>
  <c r="F6" i="3"/>
  <c r="G10" i="3"/>
  <c r="F13" i="2"/>
  <c r="G13" i="2" s="1"/>
  <c r="F17" i="2"/>
  <c r="G17" i="2" s="1"/>
  <c r="H17" i="2" s="1"/>
  <c r="F5" i="2"/>
  <c r="F8" i="2"/>
  <c r="G8" i="2" s="1"/>
  <c r="F12" i="2"/>
  <c r="G12" i="2" s="1"/>
  <c r="F7" i="2"/>
  <c r="G7" i="2" s="1"/>
  <c r="H7" i="2" s="1"/>
  <c r="F16" i="2"/>
  <c r="G16" i="2" s="1"/>
  <c r="H16" i="2" s="1"/>
  <c r="F18" i="2"/>
  <c r="G18" i="2" s="1"/>
  <c r="H18" i="2" s="1"/>
  <c r="F15" i="2"/>
  <c r="G15" i="2" s="1"/>
  <c r="H15" i="2" s="1"/>
  <c r="F9" i="2"/>
  <c r="G9" i="2" s="1"/>
  <c r="H9" i="2" s="1"/>
  <c r="F11" i="2"/>
  <c r="G11" i="2" s="1"/>
  <c r="H11" i="2" s="1"/>
  <c r="F10" i="2"/>
  <c r="G10" i="2" s="1"/>
  <c r="H10" i="2" s="1"/>
  <c r="G6" i="2"/>
  <c r="H6" i="2" s="1"/>
  <c r="H14" i="2"/>
  <c r="G8" i="3" l="1"/>
  <c r="H8" i="3"/>
  <c r="H11" i="3"/>
  <c r="G5" i="3"/>
  <c r="H5" i="3" s="1"/>
  <c r="G18" i="3"/>
  <c r="H18" i="3"/>
  <c r="H10" i="3"/>
  <c r="H15" i="3"/>
  <c r="G13" i="3"/>
  <c r="H13" i="3"/>
  <c r="H16" i="3"/>
  <c r="F19" i="2"/>
  <c r="G14" i="3"/>
  <c r="H14" i="3" s="1"/>
  <c r="F19" i="3"/>
  <c r="G6" i="3"/>
  <c r="H6" i="3" s="1"/>
  <c r="H13" i="2"/>
  <c r="H12" i="2"/>
  <c r="G5" i="2"/>
  <c r="H8" i="2"/>
  <c r="H5" i="2" l="1"/>
  <c r="G19" i="2"/>
  <c r="G19" i="3"/>
  <c r="C22" i="2"/>
  <c r="C23" i="2"/>
  <c r="C21" i="2" l="1"/>
  <c r="H19" i="2"/>
  <c r="C21" i="3"/>
  <c r="H19" i="3"/>
  <c r="C23" i="3"/>
  <c r="C22" i="3"/>
  <c r="D17" i="1"/>
  <c r="E17" i="1" s="1"/>
  <c r="D7" i="1"/>
  <c r="E7" i="1"/>
  <c r="F7" i="1" s="1"/>
  <c r="G7" i="1" s="1"/>
  <c r="D12" i="1"/>
  <c r="E12" i="1"/>
  <c r="F12" i="1" s="1"/>
  <c r="G12" i="1" s="1"/>
  <c r="D11" i="1"/>
  <c r="E11" i="1" s="1"/>
  <c r="D18" i="1"/>
  <c r="E18" i="1" s="1"/>
  <c r="D14" i="1"/>
  <c r="E14" i="1" s="1"/>
  <c r="D6" i="1"/>
  <c r="E6" i="1" s="1"/>
  <c r="F6" i="1" s="1"/>
  <c r="D13" i="1"/>
  <c r="E13" i="1" s="1"/>
  <c r="D8" i="1"/>
  <c r="E8" i="1"/>
  <c r="F8" i="1" s="1"/>
  <c r="G8" i="1" s="1"/>
  <c r="D15" i="1"/>
  <c r="E15" i="1" s="1"/>
  <c r="D9" i="1"/>
  <c r="E9" i="1"/>
  <c r="F9" i="1" s="1"/>
  <c r="D10" i="1"/>
  <c r="E10" i="1"/>
  <c r="D5" i="1"/>
  <c r="E5" i="1" s="1"/>
  <c r="F5" i="1" s="1"/>
  <c r="G5" i="1" s="1"/>
  <c r="D16" i="1"/>
  <c r="E16" i="1" s="1"/>
  <c r="F16" i="1" s="1"/>
  <c r="G16" i="1" s="1"/>
  <c r="F18" i="1" l="1"/>
  <c r="G18" i="1" s="1"/>
  <c r="F15" i="1"/>
  <c r="G15" i="1" s="1"/>
  <c r="F14" i="1"/>
  <c r="G14" i="1" s="1"/>
  <c r="F11" i="1"/>
  <c r="G11" i="1" s="1"/>
  <c r="F13" i="1"/>
  <c r="G13" i="1" s="1"/>
  <c r="G9" i="1"/>
  <c r="G6" i="1"/>
  <c r="F10" i="1"/>
  <c r="G10" i="1" s="1"/>
  <c r="F17" i="1"/>
  <c r="G17" i="1" s="1"/>
  <c r="C22" i="1" l="1"/>
  <c r="C21" i="1"/>
  <c r="C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Золотарев Никита</author>
  </authors>
  <commentList>
    <comment ref="D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Золотарев Никита:</t>
        </r>
        <r>
          <rPr>
            <sz val="9"/>
            <color indexed="81"/>
            <rFont val="Tahoma"/>
            <family val="2"/>
            <charset val="204"/>
          </rPr>
          <t xml:space="preserve">
Премия пропорциональна окладу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Золотарев Никита</author>
  </authors>
  <commentList>
    <comment ref="D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Золотарев Никита:</t>
        </r>
        <r>
          <rPr>
            <sz val="9"/>
            <color indexed="81"/>
            <rFont val="Tahoma"/>
            <family val="2"/>
            <charset val="204"/>
          </rPr>
          <t xml:space="preserve">
Премия пропорциональна окладу</t>
        </r>
      </text>
    </comment>
  </commentList>
</comments>
</file>

<file path=xl/sharedStrings.xml><?xml version="1.0" encoding="utf-8"?>
<sst xmlns="http://schemas.openxmlformats.org/spreadsheetml/2006/main" count="138" uniqueCount="38">
  <si>
    <t>ВЕДОМОСТЬ НАЧИСЛЕНИЯ ЗАРАБОТНОЙ ПЛАТЫ</t>
  </si>
  <si>
    <t>ЗА ОКТЯБРЬ 2021г.</t>
  </si>
  <si>
    <t>Табельный номер</t>
  </si>
  <si>
    <t>Фамилия И. О.</t>
  </si>
  <si>
    <t>Оклад (руб.)</t>
  </si>
  <si>
    <t>Всего начисленно (руб.)</t>
  </si>
  <si>
    <t>Удержания (руб.)</t>
  </si>
  <si>
    <t>К выдаче (руб.)</t>
  </si>
  <si>
    <t>Иванов И.Г.</t>
  </si>
  <si>
    <t>Галкин В.Ж.</t>
  </si>
  <si>
    <t>Дрынкина С.С.</t>
  </si>
  <si>
    <t>Жарова Г.А.</t>
  </si>
  <si>
    <t>Орлова Н.Н.</t>
  </si>
  <si>
    <t>Петров И.Л.</t>
  </si>
  <si>
    <t>Портнов М.Т.</t>
  </si>
  <si>
    <t>Стрелков Р.Х.</t>
  </si>
  <si>
    <t>Степкина А.В.</t>
  </si>
  <si>
    <t>Степанов А.Ш.</t>
  </si>
  <si>
    <t>Стольникова Л.Д.</t>
  </si>
  <si>
    <t>Шашкин Р.Н.</t>
  </si>
  <si>
    <t>Шпаро Н.Г.</t>
  </si>
  <si>
    <t>Шорохов С.М.</t>
  </si>
  <si>
    <t>Всего:</t>
  </si>
  <si>
    <t>Максимальный доход:</t>
  </si>
  <si>
    <t xml:space="preserve">Минимальный доход: </t>
  </si>
  <si>
    <t>Средний доход:</t>
  </si>
  <si>
    <t>ЗА НОЯБРЬ 2021г.</t>
  </si>
  <si>
    <t>Доплата</t>
  </si>
  <si>
    <t>Премия (руб.)</t>
  </si>
  <si>
    <t>ЗА ДЕКАБРЬ 2021г.</t>
  </si>
  <si>
    <t>К выдаче(руб.)</t>
  </si>
  <si>
    <t>Сотрудники</t>
  </si>
  <si>
    <t>ЗА 4 КВАРТАЛ</t>
  </si>
  <si>
    <t>Подразделение</t>
  </si>
  <si>
    <t>Администрация Итог</t>
  </si>
  <si>
    <t>Бухгалтерия Итог</t>
  </si>
  <si>
    <t>Отдел продаж Итог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</si>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</sst>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64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/>
    <xf numFmtId="164" fontId="7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Начисленная</a:t>
            </a:r>
            <a:r>
              <a:rPr lang="ru-RU" baseline="0"/>
              <a:t> сумма к выдаче за ноябрь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5A-44BC-A308-543B03B807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5A-44BC-A308-543B03B807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5A-44BC-A308-543B03B807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5A-44BC-A308-543B03B807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5A-44BC-A308-543B03B807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5A-44BC-A308-543B03B807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F5A-44BC-A308-543B03B807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F5A-44BC-A308-543B03B807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F5A-44BC-A308-543B03B8071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F5A-44BC-A308-543B03B8071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F5A-44BC-A308-543B03B8071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F5A-44BC-A308-543B03B8071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F5A-44BC-A308-543B03B8071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F5A-44BC-A308-543B03B80716}"/>
              </c:ext>
            </c:extLst>
          </c:dPt>
          <c:cat>
            <c:strRef>
              <c:f>'Зарплата ноябрь'!$M$5:$M$18</c:f>
              <c:strCache>
                <c:ptCount val="14"/>
                <c:pt idx="0">
                  <c:v>Галкин В.Ж.</c:v>
                </c:pt>
                <c:pt idx="1">
                  <c:v>Дрынкина С.С.</c:v>
                </c:pt>
                <c:pt idx="2">
                  <c:v>Жарова Г.А.</c:v>
                </c:pt>
                <c:pt idx="3">
                  <c:v>Иванов И.Г.</c:v>
                </c:pt>
                <c:pt idx="4">
                  <c:v>Орлова Н.Н.</c:v>
                </c:pt>
                <c:pt idx="5">
                  <c:v>Петров И.Л.</c:v>
                </c:pt>
                <c:pt idx="6">
                  <c:v>Портнов М.Т.</c:v>
                </c:pt>
                <c:pt idx="7">
                  <c:v>Степанов А.Ш.</c:v>
                </c:pt>
                <c:pt idx="8">
                  <c:v>Степкина А.В.</c:v>
                </c:pt>
                <c:pt idx="9">
                  <c:v>Стольникова Л.Д.</c:v>
                </c:pt>
                <c:pt idx="10">
                  <c:v>Стрелков Р.Х.</c:v>
                </c:pt>
                <c:pt idx="11">
                  <c:v>Шашкин Р.Н.</c:v>
                </c:pt>
                <c:pt idx="12">
                  <c:v>Шорохов С.М.</c:v>
                </c:pt>
                <c:pt idx="13">
                  <c:v>Шпаро Н.Г.</c:v>
                </c:pt>
              </c:strCache>
            </c:strRef>
          </c:cat>
          <c:val>
            <c:numRef>
              <c:f>'Зарплата ноябрь'!$N$5:$N$18</c:f>
              <c:numCache>
                <c:formatCode>General</c:formatCode>
                <c:ptCount val="14"/>
                <c:pt idx="0">
                  <c:v>44815.44</c:v>
                </c:pt>
                <c:pt idx="1">
                  <c:v>17878.5</c:v>
                </c:pt>
                <c:pt idx="2">
                  <c:v>53635.5</c:v>
                </c:pt>
                <c:pt idx="3">
                  <c:v>32777.25</c:v>
                </c:pt>
                <c:pt idx="4">
                  <c:v>41358.93</c:v>
                </c:pt>
                <c:pt idx="5">
                  <c:v>65697.527999999991</c:v>
                </c:pt>
                <c:pt idx="6">
                  <c:v>26579.37</c:v>
                </c:pt>
                <c:pt idx="7">
                  <c:v>54589.02</c:v>
                </c:pt>
                <c:pt idx="8">
                  <c:v>28009.65</c:v>
                </c:pt>
                <c:pt idx="9">
                  <c:v>15375.51</c:v>
                </c:pt>
                <c:pt idx="10">
                  <c:v>28009.65</c:v>
                </c:pt>
                <c:pt idx="11">
                  <c:v>40524.6</c:v>
                </c:pt>
                <c:pt idx="12">
                  <c:v>41358.93</c:v>
                </c:pt>
                <c:pt idx="13">
                  <c:v>188320.2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F5A-44BC-A308-543B03B80716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Ведомость</a:t>
            </a:r>
            <a:r>
              <a:rPr lang="ru-RU" baseline="0"/>
              <a:t> начисления зарплаты за декабрь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'Зарплата декабрь'!$N$4</c:f>
              <c:strCache>
                <c:ptCount val="1"/>
                <c:pt idx="0">
                  <c:v>К выдаче(руб.)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'Зарплата декабрь'!$M$5:$M$18</c:f>
              <c:strCache>
                <c:ptCount val="14"/>
                <c:pt idx="0">
                  <c:v>Галкин В.Ж.</c:v>
                </c:pt>
                <c:pt idx="1">
                  <c:v>Дрынкина С.С.</c:v>
                </c:pt>
                <c:pt idx="2">
                  <c:v>Жарова Г.А.</c:v>
                </c:pt>
                <c:pt idx="3">
                  <c:v>Иванов И.Г.</c:v>
                </c:pt>
                <c:pt idx="4">
                  <c:v>Орлова Н.Н.</c:v>
                </c:pt>
                <c:pt idx="5">
                  <c:v>Петров И.Л.</c:v>
                </c:pt>
                <c:pt idx="6">
                  <c:v>Портнов М.Т.</c:v>
                </c:pt>
                <c:pt idx="7">
                  <c:v>Степанов А.Ш.</c:v>
                </c:pt>
                <c:pt idx="8">
                  <c:v>Степкина А.В.</c:v>
                </c:pt>
                <c:pt idx="9">
                  <c:v>Стольникова Л.Д.</c:v>
                </c:pt>
                <c:pt idx="10">
                  <c:v>Стрелков Р.Х.</c:v>
                </c:pt>
                <c:pt idx="11">
                  <c:v>Шашкин Р.Н.</c:v>
                </c:pt>
                <c:pt idx="12">
                  <c:v>Шорохов С.М.</c:v>
                </c:pt>
                <c:pt idx="13">
                  <c:v>Шпаро Н.Г.</c:v>
                </c:pt>
              </c:strCache>
            </c:strRef>
          </c:cat>
          <c:val>
            <c:numRef>
              <c:f>'Зарплата декабрь'!$N$5:$N$18</c:f>
              <c:numCache>
                <c:formatCode>_-* #\ ##0.00\ _₽_-;\-* #\ ##0.00\ _₽_-;_-* "-"??\ _₽_-;_-@_-</c:formatCode>
                <c:ptCount val="14"/>
                <c:pt idx="0">
                  <c:v>44815.44</c:v>
                </c:pt>
                <c:pt idx="1">
                  <c:v>17878.5</c:v>
                </c:pt>
                <c:pt idx="2">
                  <c:v>53635.5</c:v>
                </c:pt>
                <c:pt idx="3">
                  <c:v>32777.25</c:v>
                </c:pt>
                <c:pt idx="4">
                  <c:v>41358.93</c:v>
                </c:pt>
                <c:pt idx="5">
                  <c:v>65697.527999999991</c:v>
                </c:pt>
                <c:pt idx="6">
                  <c:v>26579.37</c:v>
                </c:pt>
                <c:pt idx="7">
                  <c:v>54589.02</c:v>
                </c:pt>
                <c:pt idx="8">
                  <c:v>28009.65</c:v>
                </c:pt>
                <c:pt idx="9">
                  <c:v>15375.51</c:v>
                </c:pt>
                <c:pt idx="10">
                  <c:v>28009.65</c:v>
                </c:pt>
                <c:pt idx="11">
                  <c:v>40524.6</c:v>
                </c:pt>
                <c:pt idx="12">
                  <c:v>41358.93</c:v>
                </c:pt>
                <c:pt idx="13">
                  <c:v>188320.2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2-45D1-9A0F-6023CFADBE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3288544"/>
        <c:axId val="543292464"/>
      </c:barChart>
      <c:catAx>
        <c:axId val="54328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 i="1"/>
                  <a:t>Сотрудники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3292464"/>
        <c:crosses val="autoZero"/>
        <c:auto val="1"/>
        <c:lblAlgn val="ctr"/>
        <c:lblOffset val="100"/>
        <c:noMultiLvlLbl val="0"/>
      </c:catAx>
      <c:valAx>
        <c:axId val="5432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 i="1"/>
                  <a:t>К</a:t>
                </a:r>
                <a:r>
                  <a:rPr lang="ru-RU" b="1" i="1" baseline="0"/>
                  <a:t> выдаче(руб.)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_-* #\ ##0.00\ _₽_-;\-* #\ ##0.00\ _₽_-;_-* &quot;-&quot;??\ _₽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32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3</xdr:row>
      <xdr:rowOff>52386</xdr:rowOff>
    </xdr:from>
    <xdr:to>
      <xdr:col>17</xdr:col>
      <xdr:colOff>28575</xdr:colOff>
      <xdr:row>18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509587</xdr:colOff>
      <xdr:row>1</xdr:row>
      <xdr:rowOff>157161</xdr:rowOff>
    </xdr:from>
    <xdr:to>
      <xdr:col>19</xdr:col>
      <xdr:colOff>504825</xdr:colOff>
      <xdr:row>21</xdr:row>
      <xdr:rowOff>66674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D46" sqref="D46"/>
    </sheetView>
  </sheetViews>
  <sheetFormatPr defaultRowHeight="14.5" x14ac:dyDescent="0.35"/>
  <cols>
    <col min="1" max="1" width="14.7265625" customWidth="1"/>
    <col min="2" max="2" width="22" bestFit="1" customWidth="1"/>
    <col min="3" max="3" width="14.26953125" customWidth="1"/>
    <col min="4" max="4" width="15.1796875" bestFit="1" customWidth="1"/>
    <col min="5" max="5" width="18.26953125" customWidth="1"/>
    <col min="6" max="6" width="16.54296875" customWidth="1"/>
    <col min="7" max="7" width="17.7265625" customWidth="1"/>
  </cols>
  <sheetData>
    <row r="1" spans="1:7" x14ac:dyDescent="0.35">
      <c r="A1" s="24" t="s">
        <v>0</v>
      </c>
      <c r="B1" s="24"/>
      <c r="C1" s="24"/>
    </row>
    <row r="2" spans="1:7" x14ac:dyDescent="0.35">
      <c r="B2" s="1" t="s">
        <v>1</v>
      </c>
    </row>
    <row r="3" spans="1:7" ht="29" x14ac:dyDescent="0.35">
      <c r="A3" s="2" t="s">
        <v>2</v>
      </c>
      <c r="B3" s="3" t="s">
        <v>3</v>
      </c>
      <c r="C3" s="3" t="s">
        <v>4</v>
      </c>
      <c r="D3" s="3" t="s">
        <v>28</v>
      </c>
      <c r="E3" s="2" t="s">
        <v>5</v>
      </c>
      <c r="F3" s="2" t="s">
        <v>6</v>
      </c>
      <c r="G3" s="3" t="s">
        <v>7</v>
      </c>
    </row>
    <row r="4" spans="1:7" x14ac:dyDescent="0.35">
      <c r="A4" s="3"/>
      <c r="B4" s="3"/>
      <c r="C4" s="3"/>
      <c r="D4" s="4">
        <v>0.27</v>
      </c>
      <c r="E4" s="3"/>
      <c r="F4" s="4">
        <v>0.13</v>
      </c>
      <c r="G4" s="3"/>
    </row>
    <row r="5" spans="1:7" x14ac:dyDescent="0.35">
      <c r="A5" s="5">
        <v>204</v>
      </c>
      <c r="B5" s="3" t="s">
        <v>9</v>
      </c>
      <c r="C5" s="7">
        <v>37600</v>
      </c>
      <c r="D5" s="7">
        <f t="shared" ref="D5:D18" si="0">C5*$D$4</f>
        <v>10152</v>
      </c>
      <c r="E5" s="7">
        <f t="shared" ref="E5:E18" si="1">C5+D5</f>
        <v>47752</v>
      </c>
      <c r="F5" s="7">
        <f t="shared" ref="F5:F18" si="2">E5*$F$4</f>
        <v>6207.76</v>
      </c>
      <c r="G5" s="7">
        <f t="shared" ref="G5:G18" si="3">E5-F5</f>
        <v>41544.239999999998</v>
      </c>
    </row>
    <row r="6" spans="1:7" x14ac:dyDescent="0.35">
      <c r="A6" s="5">
        <v>210</v>
      </c>
      <c r="B6" s="3" t="s">
        <v>10</v>
      </c>
      <c r="C6" s="7">
        <v>15000</v>
      </c>
      <c r="D6" s="7">
        <f t="shared" si="0"/>
        <v>4050.0000000000005</v>
      </c>
      <c r="E6" s="7">
        <f t="shared" si="1"/>
        <v>19050</v>
      </c>
      <c r="F6" s="7">
        <f t="shared" si="2"/>
        <v>2476.5</v>
      </c>
      <c r="G6" s="7">
        <f t="shared" si="3"/>
        <v>16573.5</v>
      </c>
    </row>
    <row r="7" spans="1:7" x14ac:dyDescent="0.35">
      <c r="A7" s="5">
        <v>208</v>
      </c>
      <c r="B7" s="3" t="s">
        <v>11</v>
      </c>
      <c r="C7" s="7">
        <v>45000</v>
      </c>
      <c r="D7" s="7">
        <f t="shared" si="0"/>
        <v>12150</v>
      </c>
      <c r="E7" s="7">
        <f t="shared" si="1"/>
        <v>57150</v>
      </c>
      <c r="F7" s="7">
        <f t="shared" si="2"/>
        <v>7429.5</v>
      </c>
      <c r="G7" s="7">
        <f t="shared" si="3"/>
        <v>49720.5</v>
      </c>
    </row>
    <row r="8" spans="1:7" x14ac:dyDescent="0.35">
      <c r="A8" s="5">
        <v>201</v>
      </c>
      <c r="B8" s="3" t="s">
        <v>8</v>
      </c>
      <c r="C8" s="6">
        <v>27500</v>
      </c>
      <c r="D8" s="7">
        <f t="shared" si="0"/>
        <v>7425.0000000000009</v>
      </c>
      <c r="E8" s="7">
        <f t="shared" si="1"/>
        <v>34925</v>
      </c>
      <c r="F8" s="7">
        <f t="shared" si="2"/>
        <v>4540.25</v>
      </c>
      <c r="G8" s="7">
        <f t="shared" si="3"/>
        <v>30384.75</v>
      </c>
    </row>
    <row r="9" spans="1:7" x14ac:dyDescent="0.35">
      <c r="A9" s="5">
        <v>209</v>
      </c>
      <c r="B9" s="3" t="s">
        <v>12</v>
      </c>
      <c r="C9" s="7">
        <v>34700</v>
      </c>
      <c r="D9" s="7">
        <f t="shared" si="0"/>
        <v>9369</v>
      </c>
      <c r="E9" s="7">
        <f t="shared" si="1"/>
        <v>44069</v>
      </c>
      <c r="F9" s="7">
        <f t="shared" si="2"/>
        <v>5728.97</v>
      </c>
      <c r="G9" s="7">
        <f t="shared" si="3"/>
        <v>38340.03</v>
      </c>
    </row>
    <row r="10" spans="1:7" x14ac:dyDescent="0.35">
      <c r="A10" s="5">
        <v>200</v>
      </c>
      <c r="B10" s="3" t="s">
        <v>13</v>
      </c>
      <c r="C10" s="7">
        <v>55120</v>
      </c>
      <c r="D10" s="7">
        <f t="shared" si="0"/>
        <v>14882.400000000001</v>
      </c>
      <c r="E10" s="7">
        <f t="shared" si="1"/>
        <v>70002.399999999994</v>
      </c>
      <c r="F10" s="7">
        <f t="shared" si="2"/>
        <v>9100.3119999999999</v>
      </c>
      <c r="G10" s="7">
        <f t="shared" si="3"/>
        <v>60902.087999999996</v>
      </c>
    </row>
    <row r="11" spans="1:7" x14ac:dyDescent="0.35">
      <c r="A11" s="5">
        <v>205</v>
      </c>
      <c r="B11" s="3" t="s">
        <v>14</v>
      </c>
      <c r="C11" s="7">
        <v>22300</v>
      </c>
      <c r="D11" s="7">
        <f t="shared" si="0"/>
        <v>6021</v>
      </c>
      <c r="E11" s="7">
        <f t="shared" si="1"/>
        <v>28321</v>
      </c>
      <c r="F11" s="7">
        <f t="shared" si="2"/>
        <v>3681.73</v>
      </c>
      <c r="G11" s="7">
        <f t="shared" si="3"/>
        <v>24639.27</v>
      </c>
    </row>
    <row r="12" spans="1:7" x14ac:dyDescent="0.35">
      <c r="A12" s="5">
        <v>207</v>
      </c>
      <c r="B12" s="3" t="s">
        <v>17</v>
      </c>
      <c r="C12" s="7">
        <v>45800</v>
      </c>
      <c r="D12" s="7">
        <f t="shared" si="0"/>
        <v>12366</v>
      </c>
      <c r="E12" s="7">
        <f t="shared" si="1"/>
        <v>58166</v>
      </c>
      <c r="F12" s="7">
        <f t="shared" si="2"/>
        <v>7561.58</v>
      </c>
      <c r="G12" s="7">
        <f t="shared" si="3"/>
        <v>50604.42</v>
      </c>
    </row>
    <row r="13" spans="1:7" x14ac:dyDescent="0.35">
      <c r="A13" s="5">
        <v>202</v>
      </c>
      <c r="B13" s="3" t="s">
        <v>16</v>
      </c>
      <c r="C13" s="7">
        <v>23500</v>
      </c>
      <c r="D13" s="7">
        <f t="shared" si="0"/>
        <v>6345</v>
      </c>
      <c r="E13" s="7">
        <f t="shared" si="1"/>
        <v>29845</v>
      </c>
      <c r="F13" s="7">
        <f t="shared" si="2"/>
        <v>3879.85</v>
      </c>
      <c r="G13" s="7">
        <f t="shared" si="3"/>
        <v>25965.15</v>
      </c>
    </row>
    <row r="14" spans="1:7" x14ac:dyDescent="0.35">
      <c r="A14" s="5">
        <v>206</v>
      </c>
      <c r="B14" s="3" t="s">
        <v>18</v>
      </c>
      <c r="C14" s="7">
        <v>12900</v>
      </c>
      <c r="D14" s="7">
        <f t="shared" si="0"/>
        <v>3483.0000000000005</v>
      </c>
      <c r="E14" s="7">
        <f t="shared" si="1"/>
        <v>16383</v>
      </c>
      <c r="F14" s="7">
        <f t="shared" si="2"/>
        <v>2129.79</v>
      </c>
      <c r="G14" s="7">
        <f t="shared" si="3"/>
        <v>14253.21</v>
      </c>
    </row>
    <row r="15" spans="1:7" x14ac:dyDescent="0.35">
      <c r="A15" s="5">
        <v>213</v>
      </c>
      <c r="B15" s="3" t="s">
        <v>15</v>
      </c>
      <c r="C15" s="7">
        <v>23500</v>
      </c>
      <c r="D15" s="7">
        <f t="shared" si="0"/>
        <v>6345</v>
      </c>
      <c r="E15" s="7">
        <f t="shared" si="1"/>
        <v>29845</v>
      </c>
      <c r="F15" s="7">
        <f t="shared" si="2"/>
        <v>3879.85</v>
      </c>
      <c r="G15" s="7">
        <f t="shared" si="3"/>
        <v>25965.15</v>
      </c>
    </row>
    <row r="16" spans="1:7" x14ac:dyDescent="0.35">
      <c r="A16" s="5">
        <v>212</v>
      </c>
      <c r="B16" s="3" t="s">
        <v>19</v>
      </c>
      <c r="C16" s="7">
        <v>34000</v>
      </c>
      <c r="D16" s="7">
        <f t="shared" si="0"/>
        <v>9180</v>
      </c>
      <c r="E16" s="7">
        <f t="shared" si="1"/>
        <v>43180</v>
      </c>
      <c r="F16" s="7">
        <f t="shared" si="2"/>
        <v>5613.4000000000005</v>
      </c>
      <c r="G16" s="7">
        <f t="shared" si="3"/>
        <v>37566.6</v>
      </c>
    </row>
    <row r="17" spans="1:7" x14ac:dyDescent="0.35">
      <c r="A17" s="5">
        <v>203</v>
      </c>
      <c r="B17" s="3" t="s">
        <v>21</v>
      </c>
      <c r="C17" s="7">
        <v>34700</v>
      </c>
      <c r="D17" s="7">
        <f t="shared" si="0"/>
        <v>9369</v>
      </c>
      <c r="E17" s="7">
        <f t="shared" si="1"/>
        <v>44069</v>
      </c>
      <c r="F17" s="7">
        <f t="shared" si="2"/>
        <v>5728.97</v>
      </c>
      <c r="G17" s="7">
        <f t="shared" si="3"/>
        <v>38340.03</v>
      </c>
    </row>
    <row r="18" spans="1:7" x14ac:dyDescent="0.35">
      <c r="A18" s="5">
        <v>211</v>
      </c>
      <c r="B18" s="8" t="s">
        <v>20</v>
      </c>
      <c r="C18" s="9">
        <v>158000</v>
      </c>
      <c r="D18" s="9">
        <f t="shared" si="0"/>
        <v>42660</v>
      </c>
      <c r="E18" s="9">
        <f t="shared" si="1"/>
        <v>200660</v>
      </c>
      <c r="F18" s="9">
        <f t="shared" si="2"/>
        <v>26085.8</v>
      </c>
      <c r="G18" s="9">
        <f t="shared" si="3"/>
        <v>174574.2</v>
      </c>
    </row>
    <row r="19" spans="1:7" x14ac:dyDescent="0.35">
      <c r="B19" s="11"/>
      <c r="C19" s="12"/>
      <c r="D19" s="12"/>
      <c r="E19" s="12"/>
      <c r="F19" s="12"/>
      <c r="G19" s="12"/>
    </row>
    <row r="21" spans="1:7" x14ac:dyDescent="0.35">
      <c r="B21" s="13" t="s">
        <v>23</v>
      </c>
      <c r="C21" s="14">
        <f>MAX(G5:G18)</f>
        <v>174574.2</v>
      </c>
    </row>
    <row r="22" spans="1:7" x14ac:dyDescent="0.35">
      <c r="B22" s="13" t="s">
        <v>24</v>
      </c>
      <c r="C22" s="14">
        <f>MIN(G5:G18)</f>
        <v>14253.21</v>
      </c>
    </row>
    <row r="23" spans="1:7" x14ac:dyDescent="0.35">
      <c r="B23" s="13" t="s">
        <v>25</v>
      </c>
      <c r="C23" s="14">
        <f>AVERAGE(G5:G18)</f>
        <v>44955.224142857143</v>
      </c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R14" sqref="R14"/>
    </sheetView>
  </sheetViews>
  <sheetFormatPr defaultRowHeight="14.5" x14ac:dyDescent="0.35"/>
  <cols>
    <col min="1" max="1" width="14.54296875" customWidth="1"/>
    <col min="2" max="2" width="22" bestFit="1" customWidth="1"/>
    <col min="3" max="3" width="13.7265625" bestFit="1" customWidth="1"/>
    <col min="4" max="4" width="15.1796875" bestFit="1" customWidth="1"/>
    <col min="5" max="5" width="16.7265625" customWidth="1"/>
    <col min="6" max="6" width="18.81640625" customWidth="1"/>
    <col min="7" max="7" width="14.54296875" customWidth="1"/>
    <col min="8" max="8" width="15.1796875" bestFit="1" customWidth="1"/>
    <col min="14" max="14" width="10" bestFit="1" customWidth="1"/>
  </cols>
  <sheetData>
    <row r="1" spans="1:14" x14ac:dyDescent="0.35">
      <c r="A1" s="24" t="s">
        <v>0</v>
      </c>
      <c r="B1" s="24"/>
      <c r="C1" s="24"/>
    </row>
    <row r="2" spans="1:14" x14ac:dyDescent="0.35">
      <c r="B2" s="1" t="s">
        <v>26</v>
      </c>
    </row>
    <row r="3" spans="1:14" ht="29" x14ac:dyDescent="0.35">
      <c r="A3" s="2" t="s">
        <v>2</v>
      </c>
      <c r="B3" s="3" t="s">
        <v>3</v>
      </c>
      <c r="C3" s="3" t="s">
        <v>4</v>
      </c>
      <c r="D3" s="3" t="s">
        <v>28</v>
      </c>
      <c r="E3" s="2" t="s">
        <v>27</v>
      </c>
      <c r="F3" s="2" t="s">
        <v>5</v>
      </c>
      <c r="G3" s="2" t="s">
        <v>6</v>
      </c>
      <c r="H3" s="3" t="s">
        <v>7</v>
      </c>
    </row>
    <row r="4" spans="1:14" x14ac:dyDescent="0.35">
      <c r="A4" s="3"/>
      <c r="B4" s="3"/>
      <c r="C4" s="3"/>
      <c r="D4" s="4">
        <v>0.32</v>
      </c>
      <c r="E4" s="4">
        <v>0.05</v>
      </c>
      <c r="F4" s="3"/>
      <c r="G4" s="4">
        <v>0.13</v>
      </c>
      <c r="H4" s="3"/>
    </row>
    <row r="5" spans="1:14" x14ac:dyDescent="0.35">
      <c r="A5" s="5">
        <v>204</v>
      </c>
      <c r="B5" s="3" t="s">
        <v>9</v>
      </c>
      <c r="C5" s="7">
        <v>37600</v>
      </c>
      <c r="D5" s="7">
        <f t="shared" ref="D5:D18" si="0">C5*$D$4</f>
        <v>12032</v>
      </c>
      <c r="E5" s="7">
        <f t="shared" ref="E5:E18" si="1">C5*$E$4</f>
        <v>1880</v>
      </c>
      <c r="F5" s="7">
        <f t="shared" ref="F5:F18" si="2">C5+D5+E5</f>
        <v>51512</v>
      </c>
      <c r="G5" s="7">
        <f t="shared" ref="G5:G18" si="3">F5*$G$4</f>
        <v>6696.56</v>
      </c>
      <c r="H5" s="7">
        <f t="shared" ref="H5:H18" si="4">F5-G5</f>
        <v>44815.44</v>
      </c>
      <c r="M5" s="15" t="s">
        <v>9</v>
      </c>
      <c r="N5">
        <v>44815.44</v>
      </c>
    </row>
    <row r="6" spans="1:14" x14ac:dyDescent="0.35">
      <c r="A6" s="5">
        <v>210</v>
      </c>
      <c r="B6" s="3" t="s">
        <v>10</v>
      </c>
      <c r="C6" s="7">
        <v>15000</v>
      </c>
      <c r="D6" s="7">
        <f t="shared" si="0"/>
        <v>4800</v>
      </c>
      <c r="E6" s="7">
        <f t="shared" si="1"/>
        <v>750</v>
      </c>
      <c r="F6" s="7">
        <f t="shared" si="2"/>
        <v>20550</v>
      </c>
      <c r="G6" s="7">
        <f t="shared" si="3"/>
        <v>2671.5</v>
      </c>
      <c r="H6" s="7">
        <f t="shared" si="4"/>
        <v>17878.5</v>
      </c>
      <c r="M6" s="15" t="s">
        <v>10</v>
      </c>
      <c r="N6">
        <v>17878.5</v>
      </c>
    </row>
    <row r="7" spans="1:14" x14ac:dyDescent="0.35">
      <c r="A7" s="5">
        <v>208</v>
      </c>
      <c r="B7" s="3" t="s">
        <v>11</v>
      </c>
      <c r="C7" s="7">
        <v>45000</v>
      </c>
      <c r="D7" s="7">
        <f t="shared" si="0"/>
        <v>14400</v>
      </c>
      <c r="E7" s="7">
        <f t="shared" si="1"/>
        <v>2250</v>
      </c>
      <c r="F7" s="7">
        <f t="shared" si="2"/>
        <v>61650</v>
      </c>
      <c r="G7" s="7">
        <f t="shared" si="3"/>
        <v>8014.5</v>
      </c>
      <c r="H7" s="7">
        <f t="shared" si="4"/>
        <v>53635.5</v>
      </c>
      <c r="M7" s="15" t="s">
        <v>11</v>
      </c>
      <c r="N7">
        <v>53635.5</v>
      </c>
    </row>
    <row r="8" spans="1:14" x14ac:dyDescent="0.35">
      <c r="A8" s="5">
        <v>201</v>
      </c>
      <c r="B8" s="3" t="s">
        <v>8</v>
      </c>
      <c r="C8" s="6">
        <v>27500</v>
      </c>
      <c r="D8" s="7">
        <f t="shared" si="0"/>
        <v>8800</v>
      </c>
      <c r="E8" s="7">
        <f t="shared" si="1"/>
        <v>1375</v>
      </c>
      <c r="F8" s="7">
        <f t="shared" si="2"/>
        <v>37675</v>
      </c>
      <c r="G8" s="7">
        <f t="shared" si="3"/>
        <v>4897.75</v>
      </c>
      <c r="H8" s="7">
        <f t="shared" si="4"/>
        <v>32777.25</v>
      </c>
      <c r="M8" s="15" t="s">
        <v>8</v>
      </c>
      <c r="N8">
        <v>32777.25</v>
      </c>
    </row>
    <row r="9" spans="1:14" x14ac:dyDescent="0.35">
      <c r="A9" s="5">
        <v>209</v>
      </c>
      <c r="B9" s="3" t="s">
        <v>12</v>
      </c>
      <c r="C9" s="7">
        <v>34700</v>
      </c>
      <c r="D9" s="7">
        <f t="shared" si="0"/>
        <v>11104</v>
      </c>
      <c r="E9" s="7">
        <f t="shared" si="1"/>
        <v>1735</v>
      </c>
      <c r="F9" s="7">
        <f t="shared" si="2"/>
        <v>47539</v>
      </c>
      <c r="G9" s="7">
        <f t="shared" si="3"/>
        <v>6180.0700000000006</v>
      </c>
      <c r="H9" s="7">
        <f t="shared" si="4"/>
        <v>41358.93</v>
      </c>
      <c r="M9" s="15" t="s">
        <v>12</v>
      </c>
      <c r="N9">
        <v>41358.93</v>
      </c>
    </row>
    <row r="10" spans="1:14" x14ac:dyDescent="0.35">
      <c r="A10" s="5">
        <v>200</v>
      </c>
      <c r="B10" s="3" t="s">
        <v>13</v>
      </c>
      <c r="C10" s="7">
        <v>55120</v>
      </c>
      <c r="D10" s="7">
        <f t="shared" si="0"/>
        <v>17638.400000000001</v>
      </c>
      <c r="E10" s="7">
        <f t="shared" si="1"/>
        <v>2756</v>
      </c>
      <c r="F10" s="7">
        <f t="shared" si="2"/>
        <v>75514.399999999994</v>
      </c>
      <c r="G10" s="7">
        <f t="shared" si="3"/>
        <v>9816.8719999999994</v>
      </c>
      <c r="H10" s="7">
        <f t="shared" si="4"/>
        <v>65697.527999999991</v>
      </c>
      <c r="M10" s="15" t="s">
        <v>13</v>
      </c>
      <c r="N10">
        <v>65697.527999999991</v>
      </c>
    </row>
    <row r="11" spans="1:14" x14ac:dyDescent="0.35">
      <c r="A11" s="5">
        <v>205</v>
      </c>
      <c r="B11" s="3" t="s">
        <v>14</v>
      </c>
      <c r="C11" s="7">
        <v>22300</v>
      </c>
      <c r="D11" s="7">
        <f t="shared" si="0"/>
        <v>7136</v>
      </c>
      <c r="E11" s="7">
        <f t="shared" si="1"/>
        <v>1115</v>
      </c>
      <c r="F11" s="7">
        <f t="shared" si="2"/>
        <v>30551</v>
      </c>
      <c r="G11" s="7">
        <f t="shared" si="3"/>
        <v>3971.63</v>
      </c>
      <c r="H11" s="7">
        <f t="shared" si="4"/>
        <v>26579.37</v>
      </c>
      <c r="M11" s="15" t="s">
        <v>14</v>
      </c>
      <c r="N11">
        <v>26579.37</v>
      </c>
    </row>
    <row r="12" spans="1:14" x14ac:dyDescent="0.35">
      <c r="A12" s="5">
        <v>207</v>
      </c>
      <c r="B12" s="3" t="s">
        <v>17</v>
      </c>
      <c r="C12" s="7">
        <v>45800</v>
      </c>
      <c r="D12" s="7">
        <f t="shared" si="0"/>
        <v>14656</v>
      </c>
      <c r="E12" s="7">
        <f t="shared" si="1"/>
        <v>2290</v>
      </c>
      <c r="F12" s="7">
        <f t="shared" si="2"/>
        <v>62746</v>
      </c>
      <c r="G12" s="7">
        <f t="shared" si="3"/>
        <v>8156.9800000000005</v>
      </c>
      <c r="H12" s="7">
        <f t="shared" si="4"/>
        <v>54589.02</v>
      </c>
      <c r="M12" s="15" t="s">
        <v>17</v>
      </c>
      <c r="N12">
        <v>54589.02</v>
      </c>
    </row>
    <row r="13" spans="1:14" x14ac:dyDescent="0.35">
      <c r="A13" s="5">
        <v>202</v>
      </c>
      <c r="B13" s="3" t="s">
        <v>16</v>
      </c>
      <c r="C13" s="7">
        <v>23500</v>
      </c>
      <c r="D13" s="7">
        <f t="shared" si="0"/>
        <v>7520</v>
      </c>
      <c r="E13" s="7">
        <f t="shared" si="1"/>
        <v>1175</v>
      </c>
      <c r="F13" s="7">
        <f t="shared" si="2"/>
        <v>32195</v>
      </c>
      <c r="G13" s="7">
        <f t="shared" si="3"/>
        <v>4185.3500000000004</v>
      </c>
      <c r="H13" s="7">
        <f t="shared" si="4"/>
        <v>28009.65</v>
      </c>
      <c r="M13" s="15" t="s">
        <v>16</v>
      </c>
      <c r="N13">
        <v>28009.65</v>
      </c>
    </row>
    <row r="14" spans="1:14" x14ac:dyDescent="0.35">
      <c r="A14" s="5">
        <v>206</v>
      </c>
      <c r="B14" s="3" t="s">
        <v>18</v>
      </c>
      <c r="C14" s="7">
        <v>12900</v>
      </c>
      <c r="D14" s="7">
        <f t="shared" si="0"/>
        <v>4128</v>
      </c>
      <c r="E14" s="7">
        <f t="shared" si="1"/>
        <v>645</v>
      </c>
      <c r="F14" s="7">
        <f t="shared" si="2"/>
        <v>17673</v>
      </c>
      <c r="G14" s="7">
        <f t="shared" si="3"/>
        <v>2297.4900000000002</v>
      </c>
      <c r="H14" s="7">
        <f t="shared" si="4"/>
        <v>15375.51</v>
      </c>
      <c r="M14" s="15" t="s">
        <v>18</v>
      </c>
      <c r="N14">
        <v>15375.51</v>
      </c>
    </row>
    <row r="15" spans="1:14" x14ac:dyDescent="0.35">
      <c r="A15" s="5">
        <v>213</v>
      </c>
      <c r="B15" s="3" t="s">
        <v>15</v>
      </c>
      <c r="C15" s="7">
        <v>23500</v>
      </c>
      <c r="D15" s="7">
        <f t="shared" si="0"/>
        <v>7520</v>
      </c>
      <c r="E15" s="7">
        <f t="shared" si="1"/>
        <v>1175</v>
      </c>
      <c r="F15" s="7">
        <f t="shared" si="2"/>
        <v>32195</v>
      </c>
      <c r="G15" s="7">
        <f t="shared" si="3"/>
        <v>4185.3500000000004</v>
      </c>
      <c r="H15" s="7">
        <f t="shared" si="4"/>
        <v>28009.65</v>
      </c>
      <c r="M15" s="15" t="s">
        <v>15</v>
      </c>
      <c r="N15">
        <v>28009.65</v>
      </c>
    </row>
    <row r="16" spans="1:14" x14ac:dyDescent="0.35">
      <c r="A16" s="5">
        <v>212</v>
      </c>
      <c r="B16" s="3" t="s">
        <v>19</v>
      </c>
      <c r="C16" s="7">
        <v>34000</v>
      </c>
      <c r="D16" s="7">
        <f t="shared" si="0"/>
        <v>10880</v>
      </c>
      <c r="E16" s="7">
        <f t="shared" si="1"/>
        <v>1700</v>
      </c>
      <c r="F16" s="7">
        <f t="shared" si="2"/>
        <v>46580</v>
      </c>
      <c r="G16" s="7">
        <f t="shared" si="3"/>
        <v>6055.4000000000005</v>
      </c>
      <c r="H16" s="7">
        <f t="shared" si="4"/>
        <v>40524.6</v>
      </c>
      <c r="M16" s="15" t="s">
        <v>19</v>
      </c>
      <c r="N16">
        <v>40524.6</v>
      </c>
    </row>
    <row r="17" spans="1:14" x14ac:dyDescent="0.35">
      <c r="A17" s="5">
        <v>203</v>
      </c>
      <c r="B17" s="3" t="s">
        <v>21</v>
      </c>
      <c r="C17" s="7">
        <v>34700</v>
      </c>
      <c r="D17" s="7">
        <f t="shared" si="0"/>
        <v>11104</v>
      </c>
      <c r="E17" s="7">
        <f t="shared" si="1"/>
        <v>1735</v>
      </c>
      <c r="F17" s="7">
        <f t="shared" si="2"/>
        <v>47539</v>
      </c>
      <c r="G17" s="7">
        <f t="shared" si="3"/>
        <v>6180.0700000000006</v>
      </c>
      <c r="H17" s="7">
        <f t="shared" si="4"/>
        <v>41358.93</v>
      </c>
      <c r="M17" s="15" t="s">
        <v>21</v>
      </c>
      <c r="N17">
        <v>41358.93</v>
      </c>
    </row>
    <row r="18" spans="1:14" x14ac:dyDescent="0.35">
      <c r="A18" s="5">
        <v>211</v>
      </c>
      <c r="B18" s="8" t="s">
        <v>20</v>
      </c>
      <c r="C18" s="9">
        <v>158000</v>
      </c>
      <c r="D18" s="9">
        <f t="shared" si="0"/>
        <v>50560</v>
      </c>
      <c r="E18" s="7">
        <f t="shared" si="1"/>
        <v>7900</v>
      </c>
      <c r="F18" s="7">
        <f t="shared" si="2"/>
        <v>216460</v>
      </c>
      <c r="G18" s="7">
        <f t="shared" si="3"/>
        <v>28139.8</v>
      </c>
      <c r="H18" s="9">
        <f t="shared" si="4"/>
        <v>188320.2</v>
      </c>
      <c r="M18" s="15" t="s">
        <v>20</v>
      </c>
      <c r="N18">
        <v>188320.2</v>
      </c>
    </row>
    <row r="19" spans="1:14" x14ac:dyDescent="0.35">
      <c r="B19" s="11" t="s">
        <v>22</v>
      </c>
      <c r="C19" s="12">
        <f>SUM(C5:C18)</f>
        <v>569620</v>
      </c>
      <c r="D19" s="12">
        <f t="shared" ref="D19:H19" si="5">SUM(D5:D18)</f>
        <v>182278.39999999999</v>
      </c>
      <c r="E19" s="12">
        <f t="shared" si="5"/>
        <v>28481</v>
      </c>
      <c r="F19" s="12">
        <f t="shared" si="5"/>
        <v>780379.4</v>
      </c>
      <c r="G19" s="12">
        <f t="shared" si="5"/>
        <v>101449.322</v>
      </c>
      <c r="H19" s="12">
        <f t="shared" si="5"/>
        <v>678930.07799999998</v>
      </c>
    </row>
    <row r="21" spans="1:14" x14ac:dyDescent="0.35">
      <c r="B21" s="13" t="s">
        <v>23</v>
      </c>
      <c r="C21" s="14">
        <f>MAX(H5:H18)</f>
        <v>188320.2</v>
      </c>
    </row>
    <row r="22" spans="1:14" x14ac:dyDescent="0.35">
      <c r="B22" s="13" t="s">
        <v>24</v>
      </c>
      <c r="C22" s="14">
        <f>MIN(H5:H18)</f>
        <v>15375.51</v>
      </c>
    </row>
    <row r="23" spans="1:14" x14ac:dyDescent="0.35">
      <c r="B23" s="13" t="s">
        <v>25</v>
      </c>
      <c r="C23" s="14">
        <f>AVERAGE(H5:H18)</f>
        <v>48495.00557142857</v>
      </c>
    </row>
  </sheetData>
  <mergeCells count="1">
    <mergeCell ref="A1:C1"/>
  </mergeCells>
  <conditionalFormatting sqref="H5:H18">
    <cfRule type="cellIs" dxfId="5" priority="1" operator="greaterThan">
      <formula>50000</formula>
    </cfRule>
    <cfRule type="cellIs" dxfId="4" priority="2" operator="between">
      <formula>30000</formula>
      <formula>50000</formula>
    </cfRule>
    <cfRule type="cellIs" dxfId="3" priority="3" operator="lessThan">
      <formula>30000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topLeftCell="C1" workbookViewId="0">
      <selection activeCell="X19" sqref="X19"/>
    </sheetView>
  </sheetViews>
  <sheetFormatPr defaultRowHeight="14.5" x14ac:dyDescent="0.35"/>
  <cols>
    <col min="1" max="1" width="14.54296875" customWidth="1"/>
    <col min="2" max="2" width="22" bestFit="1" customWidth="1"/>
    <col min="3" max="3" width="13.7265625" bestFit="1" customWidth="1"/>
    <col min="4" max="4" width="15.1796875" bestFit="1" customWidth="1"/>
    <col min="5" max="5" width="16.7265625" customWidth="1"/>
    <col min="6" max="6" width="18.81640625" customWidth="1"/>
    <col min="7" max="7" width="14.54296875" customWidth="1"/>
    <col min="8" max="8" width="15.1796875" bestFit="1" customWidth="1"/>
    <col min="14" max="14" width="13.1796875" bestFit="1" customWidth="1"/>
  </cols>
  <sheetData>
    <row r="1" spans="1:14" x14ac:dyDescent="0.35">
      <c r="A1" s="24" t="s">
        <v>0</v>
      </c>
      <c r="B1" s="24"/>
      <c r="C1" s="24"/>
    </row>
    <row r="2" spans="1:14" x14ac:dyDescent="0.35">
      <c r="B2" s="1" t="s">
        <v>29</v>
      </c>
    </row>
    <row r="3" spans="1:14" ht="29" x14ac:dyDescent="0.35">
      <c r="A3" s="2" t="s">
        <v>2</v>
      </c>
      <c r="B3" s="3" t="s">
        <v>3</v>
      </c>
      <c r="C3" s="3" t="s">
        <v>4</v>
      </c>
      <c r="D3" s="3" t="s">
        <v>28</v>
      </c>
      <c r="E3" s="2" t="s">
        <v>27</v>
      </c>
      <c r="F3" s="2" t="s">
        <v>5</v>
      </c>
      <c r="G3" s="2" t="s">
        <v>6</v>
      </c>
      <c r="H3" s="3" t="s">
        <v>7</v>
      </c>
    </row>
    <row r="4" spans="1:14" x14ac:dyDescent="0.35">
      <c r="A4" s="3"/>
      <c r="B4" s="3"/>
      <c r="C4" s="3"/>
      <c r="D4" s="4">
        <v>0.46</v>
      </c>
      <c r="E4" s="4">
        <v>0.08</v>
      </c>
      <c r="F4" s="3"/>
      <c r="G4" s="4">
        <v>0.13</v>
      </c>
      <c r="H4" s="3"/>
      <c r="M4" t="s">
        <v>31</v>
      </c>
      <c r="N4" t="s">
        <v>30</v>
      </c>
    </row>
    <row r="5" spans="1:14" x14ac:dyDescent="0.35">
      <c r="A5" s="5">
        <v>204</v>
      </c>
      <c r="B5" s="3" t="s">
        <v>9</v>
      </c>
      <c r="C5" s="7">
        <v>37600</v>
      </c>
      <c r="D5" s="7">
        <f t="shared" ref="D5:D18" si="0">C5*$D$4</f>
        <v>17296</v>
      </c>
      <c r="E5" s="7">
        <f t="shared" ref="E5:E18" si="1">C5*$E$4</f>
        <v>3008</v>
      </c>
      <c r="F5" s="7">
        <f t="shared" ref="F5:F18" si="2">C5+D5+E5</f>
        <v>57904</v>
      </c>
      <c r="G5" s="7">
        <f t="shared" ref="G5:G18" si="3">F5*$G$4</f>
        <v>7527.52</v>
      </c>
      <c r="H5" s="7">
        <f t="shared" ref="H5:H18" si="4">F5-G5</f>
        <v>50376.479999999996</v>
      </c>
      <c r="M5" s="15" t="s">
        <v>9</v>
      </c>
      <c r="N5" s="17">
        <v>44815.44</v>
      </c>
    </row>
    <row r="6" spans="1:14" x14ac:dyDescent="0.35">
      <c r="A6" s="5">
        <v>210</v>
      </c>
      <c r="B6" s="3" t="s">
        <v>10</v>
      </c>
      <c r="C6" s="7">
        <v>15000</v>
      </c>
      <c r="D6" s="7">
        <f t="shared" si="0"/>
        <v>6900</v>
      </c>
      <c r="E6" s="7">
        <f t="shared" si="1"/>
        <v>1200</v>
      </c>
      <c r="F6" s="7">
        <f t="shared" si="2"/>
        <v>23100</v>
      </c>
      <c r="G6" s="7">
        <f t="shared" si="3"/>
        <v>3003</v>
      </c>
      <c r="H6" s="7">
        <f t="shared" si="4"/>
        <v>20097</v>
      </c>
      <c r="M6" s="15" t="s">
        <v>10</v>
      </c>
      <c r="N6" s="17">
        <v>17878.5</v>
      </c>
    </row>
    <row r="7" spans="1:14" x14ac:dyDescent="0.35">
      <c r="A7" s="5">
        <v>208</v>
      </c>
      <c r="B7" s="3" t="s">
        <v>11</v>
      </c>
      <c r="C7" s="7">
        <v>45000</v>
      </c>
      <c r="D7" s="7">
        <f t="shared" si="0"/>
        <v>20700</v>
      </c>
      <c r="E7" s="7">
        <f t="shared" si="1"/>
        <v>3600</v>
      </c>
      <c r="F7" s="7">
        <f t="shared" si="2"/>
        <v>69300</v>
      </c>
      <c r="G7" s="7">
        <f t="shared" si="3"/>
        <v>9009</v>
      </c>
      <c r="H7" s="7">
        <f t="shared" si="4"/>
        <v>60291</v>
      </c>
      <c r="M7" s="15" t="s">
        <v>11</v>
      </c>
      <c r="N7" s="17">
        <v>53635.5</v>
      </c>
    </row>
    <row r="8" spans="1:14" x14ac:dyDescent="0.35">
      <c r="A8" s="5">
        <v>201</v>
      </c>
      <c r="B8" s="3" t="s">
        <v>8</v>
      </c>
      <c r="C8" s="6">
        <v>27500</v>
      </c>
      <c r="D8" s="7">
        <f t="shared" si="0"/>
        <v>12650</v>
      </c>
      <c r="E8" s="7">
        <f t="shared" si="1"/>
        <v>2200</v>
      </c>
      <c r="F8" s="7">
        <f t="shared" si="2"/>
        <v>42350</v>
      </c>
      <c r="G8" s="7">
        <f t="shared" si="3"/>
        <v>5505.5</v>
      </c>
      <c r="H8" s="7">
        <f t="shared" si="4"/>
        <v>36844.5</v>
      </c>
      <c r="M8" s="15" t="s">
        <v>8</v>
      </c>
      <c r="N8" s="17">
        <v>32777.25</v>
      </c>
    </row>
    <row r="9" spans="1:14" x14ac:dyDescent="0.35">
      <c r="A9" s="5">
        <v>209</v>
      </c>
      <c r="B9" s="3" t="s">
        <v>12</v>
      </c>
      <c r="C9" s="7">
        <v>34700</v>
      </c>
      <c r="D9" s="7">
        <f t="shared" si="0"/>
        <v>15962</v>
      </c>
      <c r="E9" s="7">
        <f t="shared" si="1"/>
        <v>2776</v>
      </c>
      <c r="F9" s="7">
        <f t="shared" si="2"/>
        <v>53438</v>
      </c>
      <c r="G9" s="7">
        <f t="shared" si="3"/>
        <v>6946.9400000000005</v>
      </c>
      <c r="H9" s="7">
        <f t="shared" si="4"/>
        <v>46491.06</v>
      </c>
      <c r="M9" s="15" t="s">
        <v>12</v>
      </c>
      <c r="N9" s="17">
        <v>41358.93</v>
      </c>
    </row>
    <row r="10" spans="1:14" x14ac:dyDescent="0.35">
      <c r="A10" s="5">
        <v>200</v>
      </c>
      <c r="B10" s="3" t="s">
        <v>13</v>
      </c>
      <c r="C10" s="7">
        <v>55120</v>
      </c>
      <c r="D10" s="7">
        <f t="shared" si="0"/>
        <v>25355.200000000001</v>
      </c>
      <c r="E10" s="7">
        <f t="shared" si="1"/>
        <v>4409.6000000000004</v>
      </c>
      <c r="F10" s="7">
        <f t="shared" si="2"/>
        <v>84884.800000000003</v>
      </c>
      <c r="G10" s="7">
        <f t="shared" si="3"/>
        <v>11035.024000000001</v>
      </c>
      <c r="H10" s="7">
        <f t="shared" si="4"/>
        <v>73849.775999999998</v>
      </c>
      <c r="M10" s="15" t="s">
        <v>13</v>
      </c>
      <c r="N10" s="17">
        <v>65697.527999999991</v>
      </c>
    </row>
    <row r="11" spans="1:14" x14ac:dyDescent="0.35">
      <c r="A11" s="5">
        <v>205</v>
      </c>
      <c r="B11" s="3" t="s">
        <v>14</v>
      </c>
      <c r="C11" s="7">
        <v>22300</v>
      </c>
      <c r="D11" s="7">
        <f t="shared" si="0"/>
        <v>10258</v>
      </c>
      <c r="E11" s="7">
        <f t="shared" si="1"/>
        <v>1784</v>
      </c>
      <c r="F11" s="7">
        <f t="shared" si="2"/>
        <v>34342</v>
      </c>
      <c r="G11" s="7">
        <f t="shared" si="3"/>
        <v>4464.46</v>
      </c>
      <c r="H11" s="7">
        <f t="shared" si="4"/>
        <v>29877.54</v>
      </c>
      <c r="M11" s="15" t="s">
        <v>14</v>
      </c>
      <c r="N11" s="17">
        <v>26579.37</v>
      </c>
    </row>
    <row r="12" spans="1:14" x14ac:dyDescent="0.35">
      <c r="A12" s="5">
        <v>207</v>
      </c>
      <c r="B12" s="3" t="s">
        <v>17</v>
      </c>
      <c r="C12" s="7">
        <v>45800</v>
      </c>
      <c r="D12" s="7">
        <f t="shared" si="0"/>
        <v>21068</v>
      </c>
      <c r="E12" s="7">
        <f t="shared" si="1"/>
        <v>3664</v>
      </c>
      <c r="F12" s="7">
        <f t="shared" si="2"/>
        <v>70532</v>
      </c>
      <c r="G12" s="7">
        <f t="shared" si="3"/>
        <v>9169.16</v>
      </c>
      <c r="H12" s="7">
        <f t="shared" si="4"/>
        <v>61362.84</v>
      </c>
      <c r="M12" s="15" t="s">
        <v>17</v>
      </c>
      <c r="N12" s="17">
        <v>54589.02</v>
      </c>
    </row>
    <row r="13" spans="1:14" x14ac:dyDescent="0.35">
      <c r="A13" s="5">
        <v>202</v>
      </c>
      <c r="B13" s="3" t="s">
        <v>16</v>
      </c>
      <c r="C13" s="7">
        <v>23500</v>
      </c>
      <c r="D13" s="7">
        <f t="shared" si="0"/>
        <v>10810</v>
      </c>
      <c r="E13" s="7">
        <f t="shared" si="1"/>
        <v>1880</v>
      </c>
      <c r="F13" s="7">
        <f t="shared" si="2"/>
        <v>36190</v>
      </c>
      <c r="G13" s="7">
        <f t="shared" si="3"/>
        <v>4704.7</v>
      </c>
      <c r="H13" s="7">
        <f t="shared" si="4"/>
        <v>31485.3</v>
      </c>
      <c r="M13" s="15" t="s">
        <v>16</v>
      </c>
      <c r="N13" s="17">
        <v>28009.65</v>
      </c>
    </row>
    <row r="14" spans="1:14" x14ac:dyDescent="0.35">
      <c r="A14" s="5">
        <v>206</v>
      </c>
      <c r="B14" s="3" t="s">
        <v>18</v>
      </c>
      <c r="C14" s="7">
        <v>12900</v>
      </c>
      <c r="D14" s="7">
        <f t="shared" si="0"/>
        <v>5934</v>
      </c>
      <c r="E14" s="7">
        <f t="shared" si="1"/>
        <v>1032</v>
      </c>
      <c r="F14" s="7">
        <f t="shared" si="2"/>
        <v>19866</v>
      </c>
      <c r="G14" s="7">
        <f t="shared" si="3"/>
        <v>2582.58</v>
      </c>
      <c r="H14" s="7">
        <f t="shared" si="4"/>
        <v>17283.419999999998</v>
      </c>
      <c r="M14" s="15" t="s">
        <v>18</v>
      </c>
      <c r="N14" s="17">
        <v>15375.51</v>
      </c>
    </row>
    <row r="15" spans="1:14" x14ac:dyDescent="0.35">
      <c r="A15" s="5">
        <v>213</v>
      </c>
      <c r="B15" s="3" t="s">
        <v>15</v>
      </c>
      <c r="C15" s="7">
        <v>23500</v>
      </c>
      <c r="D15" s="7">
        <f t="shared" si="0"/>
        <v>10810</v>
      </c>
      <c r="E15" s="7">
        <f t="shared" si="1"/>
        <v>1880</v>
      </c>
      <c r="F15" s="7">
        <f t="shared" si="2"/>
        <v>36190</v>
      </c>
      <c r="G15" s="7">
        <f t="shared" si="3"/>
        <v>4704.7</v>
      </c>
      <c r="H15" s="7">
        <f t="shared" si="4"/>
        <v>31485.3</v>
      </c>
      <c r="M15" s="15" t="s">
        <v>15</v>
      </c>
      <c r="N15" s="17">
        <v>28009.65</v>
      </c>
    </row>
    <row r="16" spans="1:14" x14ac:dyDescent="0.35">
      <c r="A16" s="5">
        <v>212</v>
      </c>
      <c r="B16" s="3" t="s">
        <v>19</v>
      </c>
      <c r="C16" s="7">
        <v>34000</v>
      </c>
      <c r="D16" s="7">
        <f t="shared" si="0"/>
        <v>15640</v>
      </c>
      <c r="E16" s="7">
        <f t="shared" si="1"/>
        <v>2720</v>
      </c>
      <c r="F16" s="7">
        <f t="shared" si="2"/>
        <v>52360</v>
      </c>
      <c r="G16" s="7">
        <f t="shared" si="3"/>
        <v>6806.8</v>
      </c>
      <c r="H16" s="7">
        <f t="shared" si="4"/>
        <v>45553.2</v>
      </c>
      <c r="M16" s="15" t="s">
        <v>19</v>
      </c>
      <c r="N16" s="17">
        <v>40524.6</v>
      </c>
    </row>
    <row r="17" spans="1:14" x14ac:dyDescent="0.35">
      <c r="A17" s="5">
        <v>203</v>
      </c>
      <c r="B17" s="3" t="s">
        <v>21</v>
      </c>
      <c r="C17" s="7">
        <v>34700</v>
      </c>
      <c r="D17" s="7">
        <f t="shared" si="0"/>
        <v>15962</v>
      </c>
      <c r="E17" s="7">
        <f t="shared" si="1"/>
        <v>2776</v>
      </c>
      <c r="F17" s="7">
        <f t="shared" si="2"/>
        <v>53438</v>
      </c>
      <c r="G17" s="7">
        <f t="shared" si="3"/>
        <v>6946.9400000000005</v>
      </c>
      <c r="H17" s="7">
        <f t="shared" si="4"/>
        <v>46491.06</v>
      </c>
      <c r="M17" s="15" t="s">
        <v>21</v>
      </c>
      <c r="N17" s="17">
        <v>41358.93</v>
      </c>
    </row>
    <row r="18" spans="1:14" x14ac:dyDescent="0.35">
      <c r="A18" s="5">
        <v>211</v>
      </c>
      <c r="B18" s="8" t="s">
        <v>20</v>
      </c>
      <c r="C18" s="9">
        <v>158000</v>
      </c>
      <c r="D18" s="9">
        <f t="shared" si="0"/>
        <v>72680</v>
      </c>
      <c r="E18" s="7">
        <f t="shared" si="1"/>
        <v>12640</v>
      </c>
      <c r="F18" s="7">
        <f t="shared" si="2"/>
        <v>243320</v>
      </c>
      <c r="G18" s="7">
        <f t="shared" si="3"/>
        <v>31631.600000000002</v>
      </c>
      <c r="H18" s="9">
        <f t="shared" si="4"/>
        <v>211688.4</v>
      </c>
      <c r="M18" s="15" t="s">
        <v>20</v>
      </c>
      <c r="N18" s="17">
        <v>188320.2</v>
      </c>
    </row>
    <row r="19" spans="1:14" x14ac:dyDescent="0.35">
      <c r="B19" s="11" t="s">
        <v>22</v>
      </c>
      <c r="C19" s="12">
        <f>SUM(C5:C18)</f>
        <v>569620</v>
      </c>
      <c r="D19" s="12">
        <f t="shared" ref="D19:H19" si="5">SUM(D5:D18)</f>
        <v>262025.2</v>
      </c>
      <c r="E19" s="12">
        <f t="shared" si="5"/>
        <v>45569.599999999999</v>
      </c>
      <c r="F19" s="12">
        <f t="shared" si="5"/>
        <v>877214.8</v>
      </c>
      <c r="G19" s="12">
        <f t="shared" si="5"/>
        <v>114037.924</v>
      </c>
      <c r="H19" s="12">
        <f t="shared" si="5"/>
        <v>763176.87600000005</v>
      </c>
    </row>
    <row r="21" spans="1:14" x14ac:dyDescent="0.35">
      <c r="B21" s="13" t="s">
        <v>23</v>
      </c>
      <c r="C21" s="14">
        <f>MAX(H5:H18)</f>
        <v>211688.4</v>
      </c>
    </row>
    <row r="22" spans="1:14" x14ac:dyDescent="0.35">
      <c r="B22" s="13" t="s">
        <v>24</v>
      </c>
      <c r="C22" s="14">
        <f>MIN(H5:H18)</f>
        <v>17283.419999999998</v>
      </c>
    </row>
    <row r="23" spans="1:14" x14ac:dyDescent="0.35">
      <c r="B23" s="13" t="s">
        <v>25</v>
      </c>
      <c r="C23" s="14">
        <f>AVERAGE(H5:H18)</f>
        <v>54512.634000000005</v>
      </c>
    </row>
  </sheetData>
  <mergeCells count="1">
    <mergeCell ref="A1:C1"/>
  </mergeCells>
  <conditionalFormatting sqref="H5:H18">
    <cfRule type="cellIs" dxfId="2" priority="1" operator="greaterThan">
      <formula>50000</formula>
    </cfRule>
    <cfRule type="cellIs" dxfId="1" priority="2" operator="between">
      <formula>30000</formula>
      <formula>50000</formula>
    </cfRule>
    <cfRule type="cellIs" dxfId="0" priority="3" operator="lessThan">
      <formula>30000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abSelected="1" topLeftCell="A3" workbookViewId="0">
      <selection activeCell="I30" sqref="I30"/>
    </sheetView>
  </sheetViews>
  <sheetFormatPr defaultRowHeight="14.5" x14ac:dyDescent="0.35"/>
  <cols>
    <col min="1" max="1" width="14.7265625" customWidth="1"/>
    <col min="2" max="2" width="22" bestFit="1" customWidth="1"/>
    <col min="3" max="3" width="20.26953125" bestFit="1" customWidth="1"/>
    <col min="4" max="4" width="17.81640625" customWidth="1"/>
    <col min="5" max="5" width="15" customWidth="1"/>
    <col min="6" max="6" width="15.1796875" bestFit="1" customWidth="1"/>
    <col min="7" max="7" width="9.1796875" customWidth="1"/>
  </cols>
  <sheetData>
    <row r="1" spans="1:7" x14ac:dyDescent="0.35">
      <c r="A1" s="24" t="s">
        <v>0</v>
      </c>
      <c r="B1" s="24"/>
      <c r="C1" s="24"/>
    </row>
    <row r="2" spans="1:7" x14ac:dyDescent="0.35">
      <c r="B2" s="1" t="s">
        <v>32</v>
      </c>
    </row>
    <row r="3" spans="1:7" ht="37.5" customHeight="1" x14ac:dyDescent="0.35">
      <c r="A3" s="18"/>
      <c r="B3" s="15"/>
      <c r="C3" s="18"/>
      <c r="D3" s="18"/>
      <c r="E3" s="15"/>
      <c r="F3" s="18"/>
      <c r="G3" s="15"/>
    </row>
    <row r="4" spans="1:7" ht="32.25" customHeight="1" x14ac:dyDescent="0.35">
      <c r="A4" s="2" t="s">
        <v>2</v>
      </c>
      <c r="B4" s="3" t="s">
        <v>3</v>
      </c>
      <c r="C4" s="2" t="s">
        <v>33</v>
      </c>
      <c r="D4" s="2" t="s">
        <v>5</v>
      </c>
      <c r="E4" s="2" t="s">
        <v>6</v>
      </c>
      <c r="F4" s="3" t="s">
        <v>7</v>
      </c>
      <c r="G4" s="15"/>
    </row>
    <row r="5" spans="1:7" x14ac:dyDescent="0.35">
      <c r="A5" s="5">
        <v>213</v>
      </c>
      <c r="B5" s="3" t="s">
        <v>15</v>
      </c>
      <c r="C5" s="3" t="str">
        <f>IF(A5&lt;205,"Бухгалтерия",IF(AND(A5&gt;=205,A5&lt;=210),"Отдел продаж",IF(A5&gt;210,"Администрация")))</f>
        <v>Администрация</v>
      </c>
      <c r="D5" s="7">
        <v>29845</v>
      </c>
      <c r="E5" s="7">
        <f>D5*0.13</f>
        <v>3879.85</v>
      </c>
      <c r="F5" s="7">
        <f>D5-E5</f>
        <v>25965.15</v>
      </c>
      <c r="G5" s="10"/>
    </row>
    <row r="6" spans="1:7" x14ac:dyDescent="0.35">
      <c r="A6" s="5">
        <v>212</v>
      </c>
      <c r="B6" s="3" t="s">
        <v>19</v>
      </c>
      <c r="C6" s="3" t="str">
        <f>IF(A6&lt;205,"Бухгалтерия",IF(AND(A6&gt;=205,A6&lt;=210),"Отдел продаж",IF(A6&gt;210,"Администрация")))</f>
        <v>Администрация</v>
      </c>
      <c r="D6" s="7">
        <v>43180</v>
      </c>
      <c r="E6" s="7">
        <f>D6*0.13</f>
        <v>5613.4000000000005</v>
      </c>
      <c r="F6" s="7">
        <f>D6-E6</f>
        <v>37566.6</v>
      </c>
      <c r="G6" s="10"/>
    </row>
    <row r="7" spans="1:7" x14ac:dyDescent="0.35">
      <c r="A7" s="5">
        <v>211</v>
      </c>
      <c r="B7" s="3" t="s">
        <v>20</v>
      </c>
      <c r="C7" s="3" t="str">
        <f>IF(A7&lt;205,"Бухгалтерия",IF(AND(A7&gt;=205,A7&lt;=210),"Отдел продаж",IF(A7&gt;210,"Администрация")))</f>
        <v>Администрация</v>
      </c>
      <c r="D7" s="7">
        <v>200660</v>
      </c>
      <c r="E7" s="7">
        <f>D7*0.13</f>
        <v>26085.8</v>
      </c>
      <c r="F7" s="7">
        <f>D7-E7</f>
        <v>174574.2</v>
      </c>
      <c r="G7" s="10"/>
    </row>
    <row r="8" spans="1:7" x14ac:dyDescent="0.35">
      <c r="A8" s="5"/>
      <c r="B8" s="3"/>
      <c r="C8" s="19" t="s">
        <v>34</v>
      </c>
      <c r="D8" s="21">
        <f>SUM(D5:D7)</f>
        <v>273685</v>
      </c>
      <c r="E8" s="21">
        <f>SUM(E5:E7)</f>
        <v>35579.050000000003</v>
      </c>
      <c r="F8" s="21">
        <f t="shared" ref="F8" si="0">SUM(F5:F7)</f>
        <v>238105.95</v>
      </c>
      <c r="G8" s="10"/>
    </row>
    <row r="9" spans="1:7" x14ac:dyDescent="0.35">
      <c r="A9" s="5">
        <v>204</v>
      </c>
      <c r="B9" s="3" t="s">
        <v>9</v>
      </c>
      <c r="C9" s="3" t="str">
        <f>IF(A9&lt;205,"Бухгалтерия",IF(AND(A9&gt;=205,A9&lt;=210),"Отдел продаж",IF(A9&gt;210,"Администрация")))</f>
        <v>Бухгалтерия</v>
      </c>
      <c r="D9" s="7">
        <v>47752</v>
      </c>
      <c r="E9" s="7">
        <f>D9*0.13</f>
        <v>6207.76</v>
      </c>
      <c r="F9" s="7">
        <f>D9-E9</f>
        <v>41544.239999999998</v>
      </c>
      <c r="G9" s="10"/>
    </row>
    <row r="10" spans="1:7" x14ac:dyDescent="0.35">
      <c r="A10" s="5">
        <v>201</v>
      </c>
      <c r="B10" s="3" t="s">
        <v>8</v>
      </c>
      <c r="C10" s="3" t="str">
        <f>IF(A10&lt;205,"Бухгалтерия",IF(AND(A10&gt;=205,A10&lt;=210),"Отдел продаж",IF(A10&gt;210,"Администрация")))</f>
        <v>Бухгалтерия</v>
      </c>
      <c r="D10" s="7">
        <v>34925</v>
      </c>
      <c r="E10" s="7">
        <f>D10*0.13</f>
        <v>4540.25</v>
      </c>
      <c r="F10" s="7">
        <f>D10-E10</f>
        <v>30384.75</v>
      </c>
      <c r="G10" s="10"/>
    </row>
    <row r="11" spans="1:7" x14ac:dyDescent="0.35">
      <c r="A11" s="5">
        <v>200</v>
      </c>
      <c r="B11" s="3" t="s">
        <v>13</v>
      </c>
      <c r="C11" s="3" t="str">
        <f>IF(A11&lt;205,"Бухгалтерия",IF(AND(A11&gt;=205,A11&lt;=210),"Отдел продаж",IF(A11&gt;210,"Администрация")))</f>
        <v>Бухгалтерия</v>
      </c>
      <c r="D11" s="7">
        <v>70002.399999999994</v>
      </c>
      <c r="E11" s="7">
        <f>D11*0.13</f>
        <v>9100.3119999999999</v>
      </c>
      <c r="F11" s="7">
        <f>D11-E11</f>
        <v>60902.087999999996</v>
      </c>
      <c r="G11" s="10"/>
    </row>
    <row r="12" spans="1:7" x14ac:dyDescent="0.35">
      <c r="A12" s="5">
        <v>202</v>
      </c>
      <c r="B12" s="3" t="s">
        <v>16</v>
      </c>
      <c r="C12" s="3" t="str">
        <f>IF(A12&lt;205,"Бухгалтерия",IF(AND(A12&gt;=205,A12&lt;=210),"Отдел продаж",IF(A12&gt;210,"Администрация")))</f>
        <v>Бухгалтерия</v>
      </c>
      <c r="D12" s="7">
        <v>29845</v>
      </c>
      <c r="E12" s="7">
        <f>D12*0.13</f>
        <v>3879.85</v>
      </c>
      <c r="F12" s="7">
        <f>D12-E12</f>
        <v>25965.15</v>
      </c>
      <c r="G12" s="10"/>
    </row>
    <row r="13" spans="1:7" x14ac:dyDescent="0.35">
      <c r="A13" s="5">
        <v>203</v>
      </c>
      <c r="B13" s="3" t="s">
        <v>21</v>
      </c>
      <c r="C13" s="3" t="str">
        <f>IF(A13&lt;205,"Бухгалтерия",IF(AND(A13&gt;=205,A13&lt;=210),"Отдел продаж",IF(A13&gt;210,"Администрация")))</f>
        <v>Бухгалтерия</v>
      </c>
      <c r="D13" s="7">
        <v>44069</v>
      </c>
      <c r="E13" s="7">
        <f>D13*0.13</f>
        <v>5728.97</v>
      </c>
      <c r="F13" s="7">
        <f>D13-E13</f>
        <v>38340.03</v>
      </c>
      <c r="G13" s="10"/>
    </row>
    <row r="14" spans="1:7" x14ac:dyDescent="0.35">
      <c r="A14" s="5"/>
      <c r="B14" s="3"/>
      <c r="C14" s="19" t="s">
        <v>35</v>
      </c>
      <c r="D14" s="21">
        <f>SUM(D9:D13)</f>
        <v>226593.4</v>
      </c>
      <c r="E14" s="21">
        <f>SUM(E9:E13)</f>
        <v>29457.142</v>
      </c>
      <c r="F14" s="21">
        <f t="shared" ref="F14" si="1">SUM(F9:F13)</f>
        <v>197136.25799999997</v>
      </c>
      <c r="G14" s="10"/>
    </row>
    <row r="15" spans="1:7" x14ac:dyDescent="0.35">
      <c r="A15" s="5">
        <v>210</v>
      </c>
      <c r="B15" s="3" t="s">
        <v>10</v>
      </c>
      <c r="C15" s="3" t="str">
        <f t="shared" ref="C15:C20" si="2">IF(A15&lt;205,"Бухгалтерия",IF(AND(A15&gt;=205,A15&lt;=210),"Отдел продаж",IF(A15&gt;210,"Администрация")))</f>
        <v>Отдел продаж</v>
      </c>
      <c r="D15" s="7">
        <v>19050</v>
      </c>
      <c r="E15" s="7">
        <f t="shared" ref="E15:E20" si="3">D15*0.13</f>
        <v>2476.5</v>
      </c>
      <c r="F15" s="7">
        <f t="shared" ref="F15:F20" si="4">D15-E15</f>
        <v>16573.5</v>
      </c>
      <c r="G15" s="10"/>
    </row>
    <row r="16" spans="1:7" x14ac:dyDescent="0.35">
      <c r="A16" s="5">
        <v>208</v>
      </c>
      <c r="B16" s="3" t="s">
        <v>11</v>
      </c>
      <c r="C16" s="3" t="str">
        <f t="shared" si="2"/>
        <v>Отдел продаж</v>
      </c>
      <c r="D16" s="7">
        <v>57150</v>
      </c>
      <c r="E16" s="7">
        <f t="shared" si="3"/>
        <v>7429.5</v>
      </c>
      <c r="F16" s="7">
        <f t="shared" si="4"/>
        <v>49720.5</v>
      </c>
      <c r="G16" s="10"/>
    </row>
    <row r="17" spans="1:7" x14ac:dyDescent="0.35">
      <c r="A17" s="5">
        <v>209</v>
      </c>
      <c r="B17" s="3" t="s">
        <v>12</v>
      </c>
      <c r="C17" s="3" t="str">
        <f t="shared" si="2"/>
        <v>Отдел продаж</v>
      </c>
      <c r="D17" s="6">
        <v>44069</v>
      </c>
      <c r="E17" s="7">
        <f t="shared" si="3"/>
        <v>5728.97</v>
      </c>
      <c r="F17" s="7">
        <f t="shared" si="4"/>
        <v>38340.03</v>
      </c>
      <c r="G17" s="10"/>
    </row>
    <row r="18" spans="1:7" x14ac:dyDescent="0.35">
      <c r="A18" s="5">
        <v>205</v>
      </c>
      <c r="B18" s="3" t="s">
        <v>14</v>
      </c>
      <c r="C18" s="3" t="str">
        <f t="shared" si="2"/>
        <v>Отдел продаж</v>
      </c>
      <c r="D18" s="7">
        <v>28321</v>
      </c>
      <c r="E18" s="7">
        <f t="shared" si="3"/>
        <v>3681.73</v>
      </c>
      <c r="F18" s="7">
        <f t="shared" si="4"/>
        <v>24639.27</v>
      </c>
      <c r="G18" s="10"/>
    </row>
    <row r="19" spans="1:7" x14ac:dyDescent="0.35">
      <c r="A19" s="5">
        <v>207</v>
      </c>
      <c r="B19" s="3" t="s">
        <v>17</v>
      </c>
      <c r="C19" s="3" t="str">
        <f t="shared" si="2"/>
        <v>Отдел продаж</v>
      </c>
      <c r="D19" s="7">
        <v>58166</v>
      </c>
      <c r="E19" s="7">
        <f t="shared" si="3"/>
        <v>7561.58</v>
      </c>
      <c r="F19" s="7">
        <f t="shared" si="4"/>
        <v>50604.42</v>
      </c>
      <c r="G19" s="16"/>
    </row>
    <row r="20" spans="1:7" x14ac:dyDescent="0.35">
      <c r="A20" s="5">
        <v>206</v>
      </c>
      <c r="B20" s="3" t="s">
        <v>18</v>
      </c>
      <c r="C20" s="3" t="str">
        <f t="shared" si="2"/>
        <v>Отдел продаж</v>
      </c>
      <c r="D20" s="7">
        <v>16383</v>
      </c>
      <c r="E20" s="7">
        <f t="shared" si="3"/>
        <v>2129.79</v>
      </c>
      <c r="F20" s="7">
        <f t="shared" si="4"/>
        <v>14253.21</v>
      </c>
    </row>
    <row r="21" spans="1:7" x14ac:dyDescent="0.35">
      <c r="B21" s="13"/>
      <c r="C21" s="20" t="s">
        <v>36</v>
      </c>
      <c r="D21" s="22">
        <f>SUM(D15:D20)</f>
        <v>223139</v>
      </c>
      <c r="E21" s="22">
        <f t="shared" ref="E21:F21" si="5">SUM(E15:E20)</f>
        <v>29008.07</v>
      </c>
      <c r="F21" s="22">
        <f t="shared" si="5"/>
        <v>194130.93</v>
      </c>
    </row>
    <row r="22" spans="1:7" x14ac:dyDescent="0.35">
      <c r="B22" s="13"/>
      <c r="C22" s="23" t="s">
        <v>37</v>
      </c>
      <c r="D22" s="23">
        <f>D8+D14+D21</f>
        <v>723417.4</v>
      </c>
      <c r="E22" s="23">
        <f>E8+E14+E21</f>
        <v>94044.262000000002</v>
      </c>
      <c r="F22" s="23">
        <f>F8+F14+F21</f>
        <v>629373.13800000004</v>
      </c>
    </row>
    <row r="23" spans="1:7" x14ac:dyDescent="0.35">
      <c r="B23" s="13"/>
      <c r="C23" s="14"/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Зарплата октябрь</vt:lpstr>
      <vt:lpstr>Зарплата ноябрь</vt:lpstr>
      <vt:lpstr>Зарплата декабрь</vt:lpstr>
      <vt:lpstr>Итоги за квартал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Z0nik2 |</dc:creator>
  <cp:lastModifiedBy>Z0nik2 |</cp:lastModifiedBy>
  <dcterms:created xsi:type="dcterms:W3CDTF">2024-11-12T08:30:23Z</dcterms:created>
  <dcterms:modified xsi:type="dcterms:W3CDTF">2024-11-14T10:35:03Z</dcterms:modified>
</cp:coreProperties>
</file>