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ДЗ\Excel\"/>
    </mc:Choice>
  </mc:AlternateContent>
  <xr:revisionPtr revIDLastSave="0" documentId="13_ncr:1_{9F63754D-8968-42B9-97B9-9A7D7B632E7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Фильмы" sheetId="2" r:id="rId1"/>
  </sheets>
  <definedNames>
    <definedName name="_FilterDatabase" localSheetId="0" hidden="1">Фильмы!$A$1:$G$64</definedName>
  </definedNames>
  <calcPr calcId="191029"/>
  <pivotCaches>
    <pivotCache cacheId="0" r:id="rId2"/>
    <pivotCache cacheId="1" r:id="rId3"/>
    <pivotCache cacheId="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2" l="1"/>
  <c r="G43" i="2"/>
  <c r="G20" i="2"/>
  <c r="G44" i="2"/>
  <c r="G11" i="2"/>
  <c r="G21" i="2"/>
  <c r="G22" i="2"/>
  <c r="G30" i="2"/>
  <c r="G36" i="2"/>
  <c r="G55" i="2"/>
  <c r="G23" i="2"/>
  <c r="G37" i="2"/>
  <c r="G6" i="2"/>
  <c r="G51" i="2"/>
  <c r="G38" i="2"/>
  <c r="G39" i="2"/>
  <c r="G3" i="2"/>
  <c r="G12" i="2"/>
  <c r="G31" i="2"/>
  <c r="G15" i="2"/>
  <c r="G52" i="2"/>
  <c r="G9" i="2"/>
  <c r="G40" i="2"/>
  <c r="G10" i="2"/>
  <c r="G4" i="2"/>
  <c r="G45" i="2"/>
  <c r="G32" i="2"/>
  <c r="G28" i="2"/>
  <c r="G5" i="2"/>
  <c r="G7" i="2"/>
  <c r="G16" i="2"/>
  <c r="G46" i="2"/>
  <c r="G33" i="2"/>
  <c r="G42" i="2"/>
  <c r="G47" i="2"/>
  <c r="G56" i="2"/>
  <c r="G64" i="2"/>
  <c r="G34" i="2"/>
  <c r="G54" i="2"/>
  <c r="G17" i="2"/>
  <c r="G24" i="2"/>
  <c r="G18" i="2"/>
  <c r="G13" i="2"/>
  <c r="G25" i="2"/>
  <c r="G48" i="2"/>
  <c r="G35" i="2"/>
  <c r="G60" i="2"/>
  <c r="G53" i="2"/>
  <c r="G58" i="2"/>
  <c r="G57" i="2"/>
  <c r="G8" i="2"/>
  <c r="G49" i="2"/>
  <c r="G59" i="2"/>
  <c r="G62" i="2"/>
  <c r="G2" i="2"/>
  <c r="G26" i="2"/>
  <c r="G27" i="2"/>
  <c r="G50" i="2"/>
  <c r="G14" i="2"/>
  <c r="G61" i="2"/>
  <c r="G41" i="2"/>
  <c r="G63" i="2"/>
  <c r="G19" i="2"/>
</calcChain>
</file>

<file path=xl/sharedStrings.xml><?xml version="1.0" encoding="utf-8"?>
<sst xmlns="http://schemas.openxmlformats.org/spreadsheetml/2006/main" count="260" uniqueCount="48">
  <si>
    <t>Магазин</t>
  </si>
  <si>
    <t>Жанр</t>
  </si>
  <si>
    <t>Драма</t>
  </si>
  <si>
    <t>Аптечный ковбой</t>
  </si>
  <si>
    <t>Армия тьмы</t>
  </si>
  <si>
    <t>Стиль</t>
  </si>
  <si>
    <t>Близнецы</t>
  </si>
  <si>
    <t>Бум 1,2</t>
  </si>
  <si>
    <t>Бум 1,3</t>
  </si>
  <si>
    <t>Двойной удар</t>
  </si>
  <si>
    <t>Жестяной кубок</t>
  </si>
  <si>
    <t>За двома зайцями</t>
  </si>
  <si>
    <t>Закат-убежище вампиров</t>
  </si>
  <si>
    <t>Фантастика</t>
  </si>
  <si>
    <t>Звездные войны</t>
  </si>
  <si>
    <t>Иствикские ведьмы</t>
  </si>
  <si>
    <t>Космическая полицыя</t>
  </si>
  <si>
    <t>Крепкий орешек</t>
  </si>
  <si>
    <t>Лангольеры</t>
  </si>
  <si>
    <t>Назад в прошлое</t>
  </si>
  <si>
    <t>Под роялем</t>
  </si>
  <si>
    <t>Похищение Европы</t>
  </si>
  <si>
    <t>Свадьба в Малиновке</t>
  </si>
  <si>
    <t>Синий бархат</t>
  </si>
  <si>
    <t>Терминатор</t>
  </si>
  <si>
    <t>Уолл-стрит</t>
  </si>
  <si>
    <t>Шельменко денщик</t>
  </si>
  <si>
    <t>Название фильма.</t>
  </si>
  <si>
    <t>Цена за единицу</t>
  </si>
  <si>
    <t>Всего</t>
  </si>
  <si>
    <t>Кинолюб</t>
  </si>
  <si>
    <t>Мегамакс</t>
  </si>
  <si>
    <t>Наше кино</t>
  </si>
  <si>
    <t>Фильм ужасов</t>
  </si>
  <si>
    <t>Комедия</t>
  </si>
  <si>
    <t>Боевик</t>
  </si>
  <si>
    <t xml:space="preserve">Количество </t>
  </si>
  <si>
    <t xml:space="preserve">Код </t>
  </si>
  <si>
    <t>Названия строк</t>
  </si>
  <si>
    <t>Общий итог</t>
  </si>
  <si>
    <t>Названия столбцов</t>
  </si>
  <si>
    <t>Сумма по полю Цена за единицу</t>
  </si>
  <si>
    <t xml:space="preserve">Сумма по полю Количество </t>
  </si>
  <si>
    <t>Сумма по полю Всего</t>
  </si>
  <si>
    <t>Проценц в продажи</t>
  </si>
  <si>
    <t>Минимум по полю Цена за единицу4</t>
  </si>
  <si>
    <t>Среднее по полю Цена за единицу3</t>
  </si>
  <si>
    <t>Максимум по полю Цена за единицу2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</si>
</sst>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yr"/>
      <charset val="204"/>
    </font>
    <font>
      <sz val="16"/>
      <name val="Arial Cyr"/>
      <family val="2"/>
      <charset val="204"/>
    </font>
    <font>
      <sz val="8"/>
      <name val="Arial Cyr"/>
      <charset val="204"/>
    </font>
    <font>
      <b/>
      <sz val="12"/>
      <name val="Arial Cyr"/>
      <family val="2"/>
      <charset val="204"/>
    </font>
    <font>
      <b/>
      <sz val="12"/>
      <name val="Calibri"/>
      <family val="2"/>
      <charset val="204"/>
      <scheme val="minor"/>
    </font>
    <font>
      <sz val="16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2.xml"/><Relationship Id="rId7" Type="http://schemas.openxmlformats.org/officeDocument/2006/relationships/sharedStrings" Target="sharedStrings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0nik2 |" refreshedDate="45589.022622916666" createdVersion="8" refreshedVersion="8" minRefreshableVersion="3" recordCount="63" xr:uid="{0D86A9AB-D59C-4B02-8E10-68A567F70EFA}">
  <cacheSource type="worksheet">
    <worksheetSource ref="A1:G64" sheet="Фильмы"/>
  </cacheSource>
  <cacheFields count="7">
    <cacheField name="Код " numFmtId="0">
      <sharedItems containsSemiMixedTypes="0" containsString="0" containsNumber="1" containsInteger="1" minValue="123" maxValue="12399"/>
    </cacheField>
    <cacheField name="Магазин" numFmtId="0">
      <sharedItems count="4">
        <s v="Кинолюб"/>
        <s v="Мегамакс"/>
        <s v="Наше кино"/>
        <s v="Стиль"/>
      </sharedItems>
    </cacheField>
    <cacheField name="Жанр" numFmtId="0">
      <sharedItems count="5">
        <s v="Боевик"/>
        <s v="Драма"/>
        <s v="Фильм ужасов"/>
        <s v="Фантастика"/>
        <s v="Комедия"/>
      </sharedItems>
    </cacheField>
    <cacheField name="Название фильма." numFmtId="0">
      <sharedItems count="22">
        <s v="Терминатор"/>
        <s v="Жестяной кубок"/>
        <s v="Закат-убежище вампиров"/>
        <s v="Звездные войны"/>
        <s v="Двойной удар"/>
        <s v="Иствикские ведьмы"/>
        <s v="Свадьба в Малиновке"/>
        <s v="За двома зайцями"/>
        <s v="Армия тьмы"/>
        <s v="Под роялем"/>
        <s v="Уолл-стрит"/>
        <s v="Лангольеры"/>
        <s v="Назад в прошлое"/>
        <s v="Аптечный ковбой"/>
        <s v="Близнецы"/>
        <s v="Бум 1,2"/>
        <s v="Крепкий орешек"/>
        <s v="Бум 1,3"/>
        <s v="Шельменко денщик"/>
        <s v="Космическая полицыя"/>
        <s v="Похищение Европы"/>
        <s v="Синий бархат"/>
      </sharedItems>
    </cacheField>
    <cacheField name="Цена за единицу" numFmtId="0">
      <sharedItems containsSemiMixedTypes="0" containsString="0" containsNumber="1" containsInteger="1" minValue="10" maxValue="54"/>
    </cacheField>
    <cacheField name="Количество " numFmtId="0">
      <sharedItems containsSemiMixedTypes="0" containsString="0" containsNumber="1" containsInteger="1" minValue="2" maxValue="3225"/>
    </cacheField>
    <cacheField name="Всего" numFmtId="0">
      <sharedItems containsSemiMixedTypes="0" containsString="0" containsNumber="1" containsInteger="1" minValue="80" maxValue="167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0nik2 |" refreshedDate="45589.028429861108" createdVersion="8" refreshedVersion="8" minRefreshableVersion="3" recordCount="63" xr:uid="{58DE2797-33C3-4F82-9DBF-027258A9A03B}">
  <cacheSource type="worksheet">
    <worksheetSource ref="B1:G64" sheet="Фильмы"/>
  </cacheSource>
  <cacheFields count="6">
    <cacheField name="Магазин" numFmtId="0">
      <sharedItems count="4">
        <s v="Кинолюб"/>
        <s v="Мегамакс"/>
        <s v="Наше кино"/>
        <s v="Стиль"/>
      </sharedItems>
    </cacheField>
    <cacheField name="Жанр" numFmtId="0">
      <sharedItems/>
    </cacheField>
    <cacheField name="Название фильма." numFmtId="0">
      <sharedItems count="22">
        <s v="Терминатор"/>
        <s v="Жестяной кубок"/>
        <s v="Закат-убежище вампиров"/>
        <s v="Звездные войны"/>
        <s v="Двойной удар"/>
        <s v="Иствикские ведьмы"/>
        <s v="Свадьба в Малиновке"/>
        <s v="За двома зайцями"/>
        <s v="Армия тьмы"/>
        <s v="Под роялем"/>
        <s v="Уолл-стрит"/>
        <s v="Лангольеры"/>
        <s v="Назад в прошлое"/>
        <s v="Аптечный ковбой"/>
        <s v="Близнецы"/>
        <s v="Бум 1,2"/>
        <s v="Крепкий орешек"/>
        <s v="Бум 1,3"/>
        <s v="Шельменко денщик"/>
        <s v="Космическая полицыя"/>
        <s v="Похищение Европы"/>
        <s v="Синий бархат"/>
      </sharedItems>
    </cacheField>
    <cacheField name="Цена за единицу" numFmtId="0">
      <sharedItems containsSemiMixedTypes="0" containsString="0" containsNumber="1" containsInteger="1" minValue="10" maxValue="54"/>
    </cacheField>
    <cacheField name="Количество " numFmtId="0">
      <sharedItems containsSemiMixedTypes="0" containsString="0" containsNumber="1" containsInteger="1" minValue="2" maxValue="3225"/>
    </cacheField>
    <cacheField name="Всего" numFmtId="0">
      <sharedItems containsSemiMixedTypes="0" containsString="0" containsNumber="1" containsInteger="1" minValue="80" maxValue="167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0nik2 |" refreshedDate="45589.03089224537" createdVersion="8" refreshedVersion="8" minRefreshableVersion="3" recordCount="63" xr:uid="{E8D46771-0BEB-4CD2-9C8A-75E5BD408CC3}">
  <cacheSource type="worksheet">
    <worksheetSource ref="A1:H64" sheet="Фильмы"/>
  </cacheSource>
  <cacheFields count="8">
    <cacheField name="Код " numFmtId="0">
      <sharedItems containsSemiMixedTypes="0" containsString="0" containsNumber="1" containsInteger="1" minValue="123" maxValue="12399"/>
    </cacheField>
    <cacheField name="Магазин" numFmtId="0">
      <sharedItems count="4">
        <s v="Кинолюб"/>
        <s v="Мегамакс"/>
        <s v="Наше кино"/>
        <s v="Стиль"/>
      </sharedItems>
    </cacheField>
    <cacheField name="Жанр" numFmtId="0">
      <sharedItems/>
    </cacheField>
    <cacheField name="Название фильма." numFmtId="0">
      <sharedItems/>
    </cacheField>
    <cacheField name="Цена за единицу" numFmtId="0">
      <sharedItems containsSemiMixedTypes="0" containsString="0" containsNumber="1" containsInteger="1" minValue="10" maxValue="54"/>
    </cacheField>
    <cacheField name="Количество " numFmtId="0">
      <sharedItems containsSemiMixedTypes="0" containsString="0" containsNumber="1" containsInteger="1" minValue="2" maxValue="3225"/>
    </cacheField>
    <cacheField name="Всего" numFmtId="0">
      <sharedItems containsSemiMixedTypes="0" containsString="0" containsNumber="1" containsInteger="1" minValue="80" maxValue="167700"/>
    </cacheField>
    <cacheField name="Продажи в процентах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1013"/>
    <x v="0"/>
    <x v="0"/>
    <x v="0"/>
    <n v="40"/>
    <n v="2"/>
    <n v="80"/>
  </r>
  <r>
    <n v="3489"/>
    <x v="1"/>
    <x v="1"/>
    <x v="1"/>
    <n v="35"/>
    <n v="3"/>
    <n v="105"/>
  </r>
  <r>
    <n v="5073"/>
    <x v="1"/>
    <x v="2"/>
    <x v="2"/>
    <n v="32"/>
    <n v="3"/>
    <n v="96"/>
  </r>
  <r>
    <n v="5865"/>
    <x v="2"/>
    <x v="3"/>
    <x v="3"/>
    <n v="52"/>
    <n v="3"/>
    <n v="156"/>
  </r>
  <r>
    <n v="2697"/>
    <x v="0"/>
    <x v="0"/>
    <x v="4"/>
    <n v="30"/>
    <n v="10"/>
    <n v="300"/>
  </r>
  <r>
    <n v="6063"/>
    <x v="0"/>
    <x v="2"/>
    <x v="5"/>
    <n v="35"/>
    <n v="10"/>
    <n v="350"/>
  </r>
  <r>
    <n v="10221"/>
    <x v="2"/>
    <x v="4"/>
    <x v="6"/>
    <n v="50"/>
    <n v="21"/>
    <n v="1050"/>
  </r>
  <r>
    <n v="4479"/>
    <x v="2"/>
    <x v="4"/>
    <x v="7"/>
    <n v="39"/>
    <n v="23"/>
    <n v="897"/>
  </r>
  <r>
    <n v="4875"/>
    <x v="0"/>
    <x v="2"/>
    <x v="2"/>
    <n v="32"/>
    <n v="25"/>
    <n v="800"/>
  </r>
  <r>
    <n v="1113"/>
    <x v="3"/>
    <x v="2"/>
    <x v="8"/>
    <n v="25"/>
    <n v="30"/>
    <n v="750"/>
  </r>
  <r>
    <n v="3687"/>
    <x v="2"/>
    <x v="1"/>
    <x v="1"/>
    <n v="35"/>
    <n v="30"/>
    <n v="1050"/>
  </r>
  <r>
    <n v="8637"/>
    <x v="0"/>
    <x v="1"/>
    <x v="9"/>
    <n v="54"/>
    <n v="30"/>
    <n v="1620"/>
  </r>
  <r>
    <n v="11805"/>
    <x v="3"/>
    <x v="1"/>
    <x v="10"/>
    <n v="35"/>
    <n v="30"/>
    <n v="1050"/>
  </r>
  <r>
    <n v="4083"/>
    <x v="0"/>
    <x v="4"/>
    <x v="7"/>
    <n v="39"/>
    <n v="31"/>
    <n v="1209"/>
  </r>
  <r>
    <n v="6261"/>
    <x v="1"/>
    <x v="2"/>
    <x v="5"/>
    <n v="35"/>
    <n v="32"/>
    <n v="1120"/>
  </r>
  <r>
    <n v="8043"/>
    <x v="3"/>
    <x v="3"/>
    <x v="11"/>
    <n v="54"/>
    <n v="32"/>
    <n v="1728"/>
  </r>
  <r>
    <n v="8439"/>
    <x v="2"/>
    <x v="3"/>
    <x v="12"/>
    <n v="50"/>
    <n v="32"/>
    <n v="1600"/>
  </r>
  <r>
    <n v="123"/>
    <x v="0"/>
    <x v="1"/>
    <x v="13"/>
    <n v="25"/>
    <n v="35"/>
    <n v="875"/>
  </r>
  <r>
    <n v="717"/>
    <x v="0"/>
    <x v="2"/>
    <x v="8"/>
    <n v="25"/>
    <n v="35"/>
    <n v="875"/>
  </r>
  <r>
    <n v="1311"/>
    <x v="0"/>
    <x v="4"/>
    <x v="14"/>
    <n v="30"/>
    <n v="35"/>
    <n v="1050"/>
  </r>
  <r>
    <n v="1509"/>
    <x v="1"/>
    <x v="4"/>
    <x v="14"/>
    <n v="30"/>
    <n v="35"/>
    <n v="1050"/>
  </r>
  <r>
    <n v="2301"/>
    <x v="2"/>
    <x v="4"/>
    <x v="15"/>
    <n v="30"/>
    <n v="35"/>
    <n v="1050"/>
  </r>
  <r>
    <n v="8241"/>
    <x v="0"/>
    <x v="3"/>
    <x v="12"/>
    <n v="50"/>
    <n v="35"/>
    <n v="1750"/>
  </r>
  <r>
    <n v="8835"/>
    <x v="1"/>
    <x v="1"/>
    <x v="9"/>
    <n v="54"/>
    <n v="35"/>
    <n v="1890"/>
  </r>
  <r>
    <n v="11211"/>
    <x v="3"/>
    <x v="0"/>
    <x v="0"/>
    <n v="40"/>
    <n v="35"/>
    <n v="1400"/>
  </r>
  <r>
    <n v="11409"/>
    <x v="1"/>
    <x v="1"/>
    <x v="10"/>
    <n v="35"/>
    <n v="35"/>
    <n v="1225"/>
  </r>
  <r>
    <n v="5667"/>
    <x v="1"/>
    <x v="3"/>
    <x v="3"/>
    <n v="52"/>
    <n v="39"/>
    <n v="2028"/>
  </r>
  <r>
    <n v="321"/>
    <x v="1"/>
    <x v="1"/>
    <x v="13"/>
    <n v="25"/>
    <n v="40"/>
    <n v="1000"/>
  </r>
  <r>
    <n v="1707"/>
    <x v="2"/>
    <x v="4"/>
    <x v="14"/>
    <n v="30"/>
    <n v="40"/>
    <n v="1200"/>
  </r>
  <r>
    <n v="3885"/>
    <x v="3"/>
    <x v="1"/>
    <x v="1"/>
    <n v="35"/>
    <n v="40"/>
    <n v="1400"/>
  </r>
  <r>
    <n v="5469"/>
    <x v="3"/>
    <x v="2"/>
    <x v="2"/>
    <n v="32"/>
    <n v="40"/>
    <n v="1280"/>
  </r>
  <r>
    <n v="6657"/>
    <x v="3"/>
    <x v="2"/>
    <x v="5"/>
    <n v="35"/>
    <n v="40"/>
    <n v="1400"/>
  </r>
  <r>
    <n v="7647"/>
    <x v="3"/>
    <x v="0"/>
    <x v="16"/>
    <n v="52"/>
    <n v="40"/>
    <n v="2080"/>
  </r>
  <r>
    <n v="9231"/>
    <x v="3"/>
    <x v="1"/>
    <x v="9"/>
    <n v="54"/>
    <n v="40"/>
    <n v="2160"/>
  </r>
  <r>
    <n v="1905"/>
    <x v="3"/>
    <x v="4"/>
    <x v="14"/>
    <n v="30"/>
    <n v="50"/>
    <n v="1500"/>
  </r>
  <r>
    <n v="2499"/>
    <x v="3"/>
    <x v="4"/>
    <x v="17"/>
    <n v="30"/>
    <n v="50"/>
    <n v="1500"/>
  </r>
  <r>
    <n v="3093"/>
    <x v="2"/>
    <x v="0"/>
    <x v="4"/>
    <n v="30"/>
    <n v="50"/>
    <n v="1500"/>
  </r>
  <r>
    <n v="3291"/>
    <x v="3"/>
    <x v="0"/>
    <x v="4"/>
    <n v="30"/>
    <n v="50"/>
    <n v="1500"/>
  </r>
  <r>
    <n v="4677"/>
    <x v="3"/>
    <x v="4"/>
    <x v="7"/>
    <n v="39"/>
    <n v="50"/>
    <n v="1950"/>
  </r>
  <r>
    <n v="12201"/>
    <x v="1"/>
    <x v="4"/>
    <x v="18"/>
    <n v="10"/>
    <n v="50"/>
    <n v="500"/>
  </r>
  <r>
    <n v="6855"/>
    <x v="0"/>
    <x v="3"/>
    <x v="19"/>
    <n v="30"/>
    <n v="52"/>
    <n v="1560"/>
  </r>
  <r>
    <n v="519"/>
    <x v="2"/>
    <x v="1"/>
    <x v="13"/>
    <n v="25"/>
    <n v="54"/>
    <n v="1350"/>
  </r>
  <r>
    <n v="915"/>
    <x v="2"/>
    <x v="2"/>
    <x v="8"/>
    <n v="25"/>
    <n v="54"/>
    <n v="1350"/>
  </r>
  <r>
    <n v="5271"/>
    <x v="2"/>
    <x v="2"/>
    <x v="2"/>
    <n v="32"/>
    <n v="54"/>
    <n v="1728"/>
  </r>
  <r>
    <n v="6459"/>
    <x v="2"/>
    <x v="2"/>
    <x v="5"/>
    <n v="35"/>
    <n v="54"/>
    <n v="1890"/>
  </r>
  <r>
    <n v="7053"/>
    <x v="1"/>
    <x v="3"/>
    <x v="19"/>
    <n v="30"/>
    <n v="54"/>
    <n v="1620"/>
  </r>
  <r>
    <n v="9033"/>
    <x v="2"/>
    <x v="1"/>
    <x v="9"/>
    <n v="54"/>
    <n v="54"/>
    <n v="2916"/>
  </r>
  <r>
    <n v="10419"/>
    <x v="3"/>
    <x v="4"/>
    <x v="6"/>
    <n v="50"/>
    <n v="54"/>
    <n v="2700"/>
  </r>
  <r>
    <n v="11607"/>
    <x v="2"/>
    <x v="1"/>
    <x v="10"/>
    <n v="35"/>
    <n v="54"/>
    <n v="1890"/>
  </r>
  <r>
    <n v="2895"/>
    <x v="1"/>
    <x v="0"/>
    <x v="4"/>
    <n v="30"/>
    <n v="140"/>
    <n v="4200"/>
  </r>
  <r>
    <n v="4281"/>
    <x v="1"/>
    <x v="4"/>
    <x v="7"/>
    <n v="39"/>
    <n v="140"/>
    <n v="5460"/>
  </r>
  <r>
    <n v="9627"/>
    <x v="3"/>
    <x v="3"/>
    <x v="20"/>
    <n v="52"/>
    <n v="140"/>
    <n v="7280"/>
  </r>
  <r>
    <n v="7845"/>
    <x v="1"/>
    <x v="3"/>
    <x v="11"/>
    <n v="54"/>
    <n v="250"/>
    <n v="13500"/>
  </r>
  <r>
    <n v="2103"/>
    <x v="1"/>
    <x v="4"/>
    <x v="15"/>
    <n v="30"/>
    <n v="505"/>
    <n v="15150"/>
  </r>
  <r>
    <n v="7251"/>
    <x v="3"/>
    <x v="3"/>
    <x v="19"/>
    <n v="30"/>
    <n v="505"/>
    <n v="15150"/>
  </r>
  <r>
    <n v="10023"/>
    <x v="1"/>
    <x v="4"/>
    <x v="6"/>
    <n v="50"/>
    <n v="505"/>
    <n v="25250"/>
  </r>
  <r>
    <n v="9825"/>
    <x v="0"/>
    <x v="4"/>
    <x v="6"/>
    <n v="50"/>
    <n v="520"/>
    <n v="26000"/>
  </r>
  <r>
    <n v="10617"/>
    <x v="1"/>
    <x v="3"/>
    <x v="21"/>
    <n v="40"/>
    <n v="520"/>
    <n v="20800"/>
  </r>
  <r>
    <n v="9429"/>
    <x v="2"/>
    <x v="3"/>
    <x v="20"/>
    <n v="52"/>
    <n v="525"/>
    <n v="27300"/>
  </r>
  <r>
    <n v="12003"/>
    <x v="0"/>
    <x v="4"/>
    <x v="18"/>
    <n v="10"/>
    <n v="525"/>
    <n v="5250"/>
  </r>
  <r>
    <n v="10815"/>
    <x v="3"/>
    <x v="3"/>
    <x v="21"/>
    <n v="40"/>
    <n v="526"/>
    <n v="21040"/>
  </r>
  <r>
    <n v="12399"/>
    <x v="3"/>
    <x v="4"/>
    <x v="18"/>
    <n v="10"/>
    <n v="526"/>
    <n v="5260"/>
  </r>
  <r>
    <n v="7449"/>
    <x v="2"/>
    <x v="0"/>
    <x v="16"/>
    <n v="52"/>
    <n v="3225"/>
    <n v="1677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x v="0"/>
    <s v="Боевик"/>
    <x v="0"/>
    <n v="40"/>
    <n v="2"/>
    <n v="80"/>
  </r>
  <r>
    <x v="1"/>
    <s v="Драма"/>
    <x v="1"/>
    <n v="35"/>
    <n v="3"/>
    <n v="105"/>
  </r>
  <r>
    <x v="1"/>
    <s v="Фильм ужасов"/>
    <x v="2"/>
    <n v="32"/>
    <n v="3"/>
    <n v="96"/>
  </r>
  <r>
    <x v="2"/>
    <s v="Фантастика"/>
    <x v="3"/>
    <n v="52"/>
    <n v="3"/>
    <n v="156"/>
  </r>
  <r>
    <x v="0"/>
    <s v="Боевик"/>
    <x v="4"/>
    <n v="30"/>
    <n v="10"/>
    <n v="300"/>
  </r>
  <r>
    <x v="0"/>
    <s v="Фильм ужасов"/>
    <x v="5"/>
    <n v="35"/>
    <n v="10"/>
    <n v="350"/>
  </r>
  <r>
    <x v="2"/>
    <s v="Комедия"/>
    <x v="6"/>
    <n v="50"/>
    <n v="21"/>
    <n v="1050"/>
  </r>
  <r>
    <x v="2"/>
    <s v="Комедия"/>
    <x v="7"/>
    <n v="39"/>
    <n v="23"/>
    <n v="897"/>
  </r>
  <r>
    <x v="0"/>
    <s v="Фильм ужасов"/>
    <x v="2"/>
    <n v="32"/>
    <n v="25"/>
    <n v="800"/>
  </r>
  <r>
    <x v="3"/>
    <s v="Фильм ужасов"/>
    <x v="8"/>
    <n v="25"/>
    <n v="30"/>
    <n v="750"/>
  </r>
  <r>
    <x v="2"/>
    <s v="Драма"/>
    <x v="1"/>
    <n v="35"/>
    <n v="30"/>
    <n v="1050"/>
  </r>
  <r>
    <x v="0"/>
    <s v="Драма"/>
    <x v="9"/>
    <n v="54"/>
    <n v="30"/>
    <n v="1620"/>
  </r>
  <r>
    <x v="3"/>
    <s v="Драма"/>
    <x v="10"/>
    <n v="35"/>
    <n v="30"/>
    <n v="1050"/>
  </r>
  <r>
    <x v="0"/>
    <s v="Комедия"/>
    <x v="7"/>
    <n v="39"/>
    <n v="31"/>
    <n v="1209"/>
  </r>
  <r>
    <x v="1"/>
    <s v="Фильм ужасов"/>
    <x v="5"/>
    <n v="35"/>
    <n v="32"/>
    <n v="1120"/>
  </r>
  <r>
    <x v="3"/>
    <s v="Фантастика"/>
    <x v="11"/>
    <n v="54"/>
    <n v="32"/>
    <n v="1728"/>
  </r>
  <r>
    <x v="2"/>
    <s v="Фантастика"/>
    <x v="12"/>
    <n v="50"/>
    <n v="32"/>
    <n v="1600"/>
  </r>
  <r>
    <x v="0"/>
    <s v="Драма"/>
    <x v="13"/>
    <n v="25"/>
    <n v="35"/>
    <n v="875"/>
  </r>
  <r>
    <x v="0"/>
    <s v="Фильм ужасов"/>
    <x v="8"/>
    <n v="25"/>
    <n v="35"/>
    <n v="875"/>
  </r>
  <r>
    <x v="0"/>
    <s v="Комедия"/>
    <x v="14"/>
    <n v="30"/>
    <n v="35"/>
    <n v="1050"/>
  </r>
  <r>
    <x v="1"/>
    <s v="Комедия"/>
    <x v="14"/>
    <n v="30"/>
    <n v="35"/>
    <n v="1050"/>
  </r>
  <r>
    <x v="2"/>
    <s v="Комедия"/>
    <x v="15"/>
    <n v="30"/>
    <n v="35"/>
    <n v="1050"/>
  </r>
  <r>
    <x v="0"/>
    <s v="Фантастика"/>
    <x v="12"/>
    <n v="50"/>
    <n v="35"/>
    <n v="1750"/>
  </r>
  <r>
    <x v="1"/>
    <s v="Драма"/>
    <x v="9"/>
    <n v="54"/>
    <n v="35"/>
    <n v="1890"/>
  </r>
  <r>
    <x v="3"/>
    <s v="Боевик"/>
    <x v="0"/>
    <n v="40"/>
    <n v="35"/>
    <n v="1400"/>
  </r>
  <r>
    <x v="1"/>
    <s v="Драма"/>
    <x v="10"/>
    <n v="35"/>
    <n v="35"/>
    <n v="1225"/>
  </r>
  <r>
    <x v="1"/>
    <s v="Фантастика"/>
    <x v="3"/>
    <n v="52"/>
    <n v="39"/>
    <n v="2028"/>
  </r>
  <r>
    <x v="1"/>
    <s v="Драма"/>
    <x v="13"/>
    <n v="25"/>
    <n v="40"/>
    <n v="1000"/>
  </r>
  <r>
    <x v="2"/>
    <s v="Комедия"/>
    <x v="14"/>
    <n v="30"/>
    <n v="40"/>
    <n v="1200"/>
  </r>
  <r>
    <x v="3"/>
    <s v="Драма"/>
    <x v="1"/>
    <n v="35"/>
    <n v="40"/>
    <n v="1400"/>
  </r>
  <r>
    <x v="3"/>
    <s v="Фильм ужасов"/>
    <x v="2"/>
    <n v="32"/>
    <n v="40"/>
    <n v="1280"/>
  </r>
  <r>
    <x v="3"/>
    <s v="Фильм ужасов"/>
    <x v="5"/>
    <n v="35"/>
    <n v="40"/>
    <n v="1400"/>
  </r>
  <r>
    <x v="3"/>
    <s v="Боевик"/>
    <x v="16"/>
    <n v="52"/>
    <n v="40"/>
    <n v="2080"/>
  </r>
  <r>
    <x v="3"/>
    <s v="Драма"/>
    <x v="9"/>
    <n v="54"/>
    <n v="40"/>
    <n v="2160"/>
  </r>
  <r>
    <x v="3"/>
    <s v="Комедия"/>
    <x v="14"/>
    <n v="30"/>
    <n v="50"/>
    <n v="1500"/>
  </r>
  <r>
    <x v="3"/>
    <s v="Комедия"/>
    <x v="17"/>
    <n v="30"/>
    <n v="50"/>
    <n v="1500"/>
  </r>
  <r>
    <x v="2"/>
    <s v="Боевик"/>
    <x v="4"/>
    <n v="30"/>
    <n v="50"/>
    <n v="1500"/>
  </r>
  <r>
    <x v="3"/>
    <s v="Боевик"/>
    <x v="4"/>
    <n v="30"/>
    <n v="50"/>
    <n v="1500"/>
  </r>
  <r>
    <x v="3"/>
    <s v="Комедия"/>
    <x v="7"/>
    <n v="39"/>
    <n v="50"/>
    <n v="1950"/>
  </r>
  <r>
    <x v="1"/>
    <s v="Комедия"/>
    <x v="18"/>
    <n v="10"/>
    <n v="50"/>
    <n v="500"/>
  </r>
  <r>
    <x v="0"/>
    <s v="Фантастика"/>
    <x v="19"/>
    <n v="30"/>
    <n v="52"/>
    <n v="1560"/>
  </r>
  <r>
    <x v="2"/>
    <s v="Драма"/>
    <x v="13"/>
    <n v="25"/>
    <n v="54"/>
    <n v="1350"/>
  </r>
  <r>
    <x v="2"/>
    <s v="Фильм ужасов"/>
    <x v="8"/>
    <n v="25"/>
    <n v="54"/>
    <n v="1350"/>
  </r>
  <r>
    <x v="2"/>
    <s v="Фильм ужасов"/>
    <x v="2"/>
    <n v="32"/>
    <n v="54"/>
    <n v="1728"/>
  </r>
  <r>
    <x v="2"/>
    <s v="Фильм ужасов"/>
    <x v="5"/>
    <n v="35"/>
    <n v="54"/>
    <n v="1890"/>
  </r>
  <r>
    <x v="1"/>
    <s v="Фантастика"/>
    <x v="19"/>
    <n v="30"/>
    <n v="54"/>
    <n v="1620"/>
  </r>
  <r>
    <x v="2"/>
    <s v="Драма"/>
    <x v="9"/>
    <n v="54"/>
    <n v="54"/>
    <n v="2916"/>
  </r>
  <r>
    <x v="3"/>
    <s v="Комедия"/>
    <x v="6"/>
    <n v="50"/>
    <n v="54"/>
    <n v="2700"/>
  </r>
  <r>
    <x v="2"/>
    <s v="Драма"/>
    <x v="10"/>
    <n v="35"/>
    <n v="54"/>
    <n v="1890"/>
  </r>
  <r>
    <x v="1"/>
    <s v="Боевик"/>
    <x v="4"/>
    <n v="30"/>
    <n v="140"/>
    <n v="4200"/>
  </r>
  <r>
    <x v="1"/>
    <s v="Комедия"/>
    <x v="7"/>
    <n v="39"/>
    <n v="140"/>
    <n v="5460"/>
  </r>
  <r>
    <x v="3"/>
    <s v="Фантастика"/>
    <x v="20"/>
    <n v="52"/>
    <n v="140"/>
    <n v="7280"/>
  </r>
  <r>
    <x v="1"/>
    <s v="Фантастика"/>
    <x v="11"/>
    <n v="54"/>
    <n v="250"/>
    <n v="13500"/>
  </r>
  <r>
    <x v="1"/>
    <s v="Комедия"/>
    <x v="15"/>
    <n v="30"/>
    <n v="505"/>
    <n v="15150"/>
  </r>
  <r>
    <x v="3"/>
    <s v="Фантастика"/>
    <x v="19"/>
    <n v="30"/>
    <n v="505"/>
    <n v="15150"/>
  </r>
  <r>
    <x v="1"/>
    <s v="Комедия"/>
    <x v="6"/>
    <n v="50"/>
    <n v="505"/>
    <n v="25250"/>
  </r>
  <r>
    <x v="0"/>
    <s v="Комедия"/>
    <x v="6"/>
    <n v="50"/>
    <n v="520"/>
    <n v="26000"/>
  </r>
  <r>
    <x v="1"/>
    <s v="Фантастика"/>
    <x v="21"/>
    <n v="40"/>
    <n v="520"/>
    <n v="20800"/>
  </r>
  <r>
    <x v="2"/>
    <s v="Фантастика"/>
    <x v="20"/>
    <n v="52"/>
    <n v="525"/>
    <n v="27300"/>
  </r>
  <r>
    <x v="0"/>
    <s v="Комедия"/>
    <x v="18"/>
    <n v="10"/>
    <n v="525"/>
    <n v="5250"/>
  </r>
  <r>
    <x v="3"/>
    <s v="Фантастика"/>
    <x v="21"/>
    <n v="40"/>
    <n v="526"/>
    <n v="21040"/>
  </r>
  <r>
    <x v="3"/>
    <s v="Комедия"/>
    <x v="18"/>
    <n v="10"/>
    <n v="526"/>
    <n v="5260"/>
  </r>
  <r>
    <x v="2"/>
    <s v="Боевик"/>
    <x v="16"/>
    <n v="52"/>
    <n v="3225"/>
    <n v="1677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">
  <r>
    <n v="11013"/>
    <x v="0"/>
    <s v="Боевик"/>
    <s v="Терминатор"/>
    <n v="40"/>
    <n v="2"/>
    <n v="80"/>
    <x v="0"/>
  </r>
  <r>
    <n v="3489"/>
    <x v="1"/>
    <s v="Драма"/>
    <s v="Жестяной кубок"/>
    <n v="35"/>
    <n v="3"/>
    <n v="105"/>
    <x v="0"/>
  </r>
  <r>
    <n v="5073"/>
    <x v="1"/>
    <s v="Фильм ужасов"/>
    <s v="Закат-убежище вампиров"/>
    <n v="32"/>
    <n v="3"/>
    <n v="96"/>
    <x v="0"/>
  </r>
  <r>
    <n v="5865"/>
    <x v="2"/>
    <s v="Фантастика"/>
    <s v="Звездные войны"/>
    <n v="52"/>
    <n v="3"/>
    <n v="156"/>
    <x v="0"/>
  </r>
  <r>
    <n v="2697"/>
    <x v="0"/>
    <s v="Боевик"/>
    <s v="Двойной удар"/>
    <n v="30"/>
    <n v="10"/>
    <n v="300"/>
    <x v="0"/>
  </r>
  <r>
    <n v="6063"/>
    <x v="0"/>
    <s v="Фильм ужасов"/>
    <s v="Иствикские ведьмы"/>
    <n v="35"/>
    <n v="10"/>
    <n v="350"/>
    <x v="0"/>
  </r>
  <r>
    <n v="10221"/>
    <x v="2"/>
    <s v="Комедия"/>
    <s v="Свадьба в Малиновке"/>
    <n v="50"/>
    <n v="21"/>
    <n v="1050"/>
    <x v="0"/>
  </r>
  <r>
    <n v="4479"/>
    <x v="2"/>
    <s v="Комедия"/>
    <s v="За двома зайцями"/>
    <n v="39"/>
    <n v="23"/>
    <n v="897"/>
    <x v="0"/>
  </r>
  <r>
    <n v="4875"/>
    <x v="0"/>
    <s v="Фильм ужасов"/>
    <s v="Закат-убежище вампиров"/>
    <n v="32"/>
    <n v="25"/>
    <n v="800"/>
    <x v="0"/>
  </r>
  <r>
    <n v="1113"/>
    <x v="3"/>
    <s v="Фильм ужасов"/>
    <s v="Армия тьмы"/>
    <n v="25"/>
    <n v="30"/>
    <n v="750"/>
    <x v="0"/>
  </r>
  <r>
    <n v="3687"/>
    <x v="2"/>
    <s v="Драма"/>
    <s v="Жестяной кубок"/>
    <n v="35"/>
    <n v="30"/>
    <n v="1050"/>
    <x v="0"/>
  </r>
  <r>
    <n v="8637"/>
    <x v="0"/>
    <s v="Драма"/>
    <s v="Под роялем"/>
    <n v="54"/>
    <n v="30"/>
    <n v="1620"/>
    <x v="0"/>
  </r>
  <r>
    <n v="11805"/>
    <x v="3"/>
    <s v="Драма"/>
    <s v="Уолл-стрит"/>
    <n v="35"/>
    <n v="30"/>
    <n v="1050"/>
    <x v="0"/>
  </r>
  <r>
    <n v="4083"/>
    <x v="0"/>
    <s v="Комедия"/>
    <s v="За двома зайцями"/>
    <n v="39"/>
    <n v="31"/>
    <n v="1209"/>
    <x v="0"/>
  </r>
  <r>
    <n v="6261"/>
    <x v="1"/>
    <s v="Фильм ужасов"/>
    <s v="Иствикские ведьмы"/>
    <n v="35"/>
    <n v="32"/>
    <n v="1120"/>
    <x v="0"/>
  </r>
  <r>
    <n v="8043"/>
    <x v="3"/>
    <s v="Фантастика"/>
    <s v="Лангольеры"/>
    <n v="54"/>
    <n v="32"/>
    <n v="1728"/>
    <x v="0"/>
  </r>
  <r>
    <n v="8439"/>
    <x v="2"/>
    <s v="Фантастика"/>
    <s v="Назад в прошлое"/>
    <n v="50"/>
    <n v="32"/>
    <n v="1600"/>
    <x v="0"/>
  </r>
  <r>
    <n v="123"/>
    <x v="0"/>
    <s v="Драма"/>
    <s v="Аптечный ковбой"/>
    <n v="25"/>
    <n v="35"/>
    <n v="875"/>
    <x v="0"/>
  </r>
  <r>
    <n v="717"/>
    <x v="0"/>
    <s v="Фильм ужасов"/>
    <s v="Армия тьмы"/>
    <n v="25"/>
    <n v="35"/>
    <n v="875"/>
    <x v="0"/>
  </r>
  <r>
    <n v="1311"/>
    <x v="0"/>
    <s v="Комедия"/>
    <s v="Близнецы"/>
    <n v="30"/>
    <n v="35"/>
    <n v="1050"/>
    <x v="0"/>
  </r>
  <r>
    <n v="1509"/>
    <x v="1"/>
    <s v="Комедия"/>
    <s v="Близнецы"/>
    <n v="30"/>
    <n v="35"/>
    <n v="1050"/>
    <x v="0"/>
  </r>
  <r>
    <n v="2301"/>
    <x v="2"/>
    <s v="Комедия"/>
    <s v="Бум 1,2"/>
    <n v="30"/>
    <n v="35"/>
    <n v="1050"/>
    <x v="0"/>
  </r>
  <r>
    <n v="8241"/>
    <x v="0"/>
    <s v="Фантастика"/>
    <s v="Назад в прошлое"/>
    <n v="50"/>
    <n v="35"/>
    <n v="1750"/>
    <x v="0"/>
  </r>
  <r>
    <n v="8835"/>
    <x v="1"/>
    <s v="Драма"/>
    <s v="Под роялем"/>
    <n v="54"/>
    <n v="35"/>
    <n v="1890"/>
    <x v="0"/>
  </r>
  <r>
    <n v="11211"/>
    <x v="3"/>
    <s v="Боевик"/>
    <s v="Терминатор"/>
    <n v="40"/>
    <n v="35"/>
    <n v="1400"/>
    <x v="0"/>
  </r>
  <r>
    <n v="11409"/>
    <x v="1"/>
    <s v="Драма"/>
    <s v="Уолл-стрит"/>
    <n v="35"/>
    <n v="35"/>
    <n v="1225"/>
    <x v="0"/>
  </r>
  <r>
    <n v="5667"/>
    <x v="1"/>
    <s v="Фантастика"/>
    <s v="Звездные войны"/>
    <n v="52"/>
    <n v="39"/>
    <n v="2028"/>
    <x v="0"/>
  </r>
  <r>
    <n v="321"/>
    <x v="1"/>
    <s v="Драма"/>
    <s v="Аптечный ковбой"/>
    <n v="25"/>
    <n v="40"/>
    <n v="1000"/>
    <x v="0"/>
  </r>
  <r>
    <n v="1707"/>
    <x v="2"/>
    <s v="Комедия"/>
    <s v="Близнецы"/>
    <n v="30"/>
    <n v="40"/>
    <n v="1200"/>
    <x v="0"/>
  </r>
  <r>
    <n v="3885"/>
    <x v="3"/>
    <s v="Драма"/>
    <s v="Жестяной кубок"/>
    <n v="35"/>
    <n v="40"/>
    <n v="1400"/>
    <x v="0"/>
  </r>
  <r>
    <n v="5469"/>
    <x v="3"/>
    <s v="Фильм ужасов"/>
    <s v="Закат-убежище вампиров"/>
    <n v="32"/>
    <n v="40"/>
    <n v="1280"/>
    <x v="0"/>
  </r>
  <r>
    <n v="6657"/>
    <x v="3"/>
    <s v="Фильм ужасов"/>
    <s v="Иствикские ведьмы"/>
    <n v="35"/>
    <n v="40"/>
    <n v="1400"/>
    <x v="0"/>
  </r>
  <r>
    <n v="7647"/>
    <x v="3"/>
    <s v="Боевик"/>
    <s v="Крепкий орешек"/>
    <n v="52"/>
    <n v="40"/>
    <n v="2080"/>
    <x v="0"/>
  </r>
  <r>
    <n v="9231"/>
    <x v="3"/>
    <s v="Драма"/>
    <s v="Под роялем"/>
    <n v="54"/>
    <n v="40"/>
    <n v="2160"/>
    <x v="0"/>
  </r>
  <r>
    <n v="1905"/>
    <x v="3"/>
    <s v="Комедия"/>
    <s v="Близнецы"/>
    <n v="30"/>
    <n v="50"/>
    <n v="1500"/>
    <x v="0"/>
  </r>
  <r>
    <n v="2499"/>
    <x v="3"/>
    <s v="Комедия"/>
    <s v="Бум 1,3"/>
    <n v="30"/>
    <n v="50"/>
    <n v="1500"/>
    <x v="0"/>
  </r>
  <r>
    <n v="3093"/>
    <x v="2"/>
    <s v="Боевик"/>
    <s v="Двойной удар"/>
    <n v="30"/>
    <n v="50"/>
    <n v="1500"/>
    <x v="0"/>
  </r>
  <r>
    <n v="3291"/>
    <x v="3"/>
    <s v="Боевик"/>
    <s v="Двойной удар"/>
    <n v="30"/>
    <n v="50"/>
    <n v="1500"/>
    <x v="0"/>
  </r>
  <r>
    <n v="4677"/>
    <x v="3"/>
    <s v="Комедия"/>
    <s v="За двома зайцями"/>
    <n v="39"/>
    <n v="50"/>
    <n v="1950"/>
    <x v="0"/>
  </r>
  <r>
    <n v="12201"/>
    <x v="1"/>
    <s v="Комедия"/>
    <s v="Шельменко денщик"/>
    <n v="10"/>
    <n v="50"/>
    <n v="500"/>
    <x v="0"/>
  </r>
  <r>
    <n v="6855"/>
    <x v="0"/>
    <s v="Фантастика"/>
    <s v="Космическая полицыя"/>
    <n v="30"/>
    <n v="52"/>
    <n v="1560"/>
    <x v="0"/>
  </r>
  <r>
    <n v="519"/>
    <x v="2"/>
    <s v="Драма"/>
    <s v="Аптечный ковбой"/>
    <n v="25"/>
    <n v="54"/>
    <n v="1350"/>
    <x v="0"/>
  </r>
  <r>
    <n v="915"/>
    <x v="2"/>
    <s v="Фильм ужасов"/>
    <s v="Армия тьмы"/>
    <n v="25"/>
    <n v="54"/>
    <n v="1350"/>
    <x v="0"/>
  </r>
  <r>
    <n v="5271"/>
    <x v="2"/>
    <s v="Фильм ужасов"/>
    <s v="Закат-убежище вампиров"/>
    <n v="32"/>
    <n v="54"/>
    <n v="1728"/>
    <x v="0"/>
  </r>
  <r>
    <n v="6459"/>
    <x v="2"/>
    <s v="Фильм ужасов"/>
    <s v="Иствикские ведьмы"/>
    <n v="35"/>
    <n v="54"/>
    <n v="1890"/>
    <x v="0"/>
  </r>
  <r>
    <n v="7053"/>
    <x v="1"/>
    <s v="Фантастика"/>
    <s v="Космическая полицыя"/>
    <n v="30"/>
    <n v="54"/>
    <n v="1620"/>
    <x v="0"/>
  </r>
  <r>
    <n v="9033"/>
    <x v="2"/>
    <s v="Драма"/>
    <s v="Под роялем"/>
    <n v="54"/>
    <n v="54"/>
    <n v="2916"/>
    <x v="0"/>
  </r>
  <r>
    <n v="10419"/>
    <x v="3"/>
    <s v="Комедия"/>
    <s v="Свадьба в Малиновке"/>
    <n v="50"/>
    <n v="54"/>
    <n v="2700"/>
    <x v="0"/>
  </r>
  <r>
    <n v="11607"/>
    <x v="2"/>
    <s v="Драма"/>
    <s v="Уолл-стрит"/>
    <n v="35"/>
    <n v="54"/>
    <n v="1890"/>
    <x v="0"/>
  </r>
  <r>
    <n v="2895"/>
    <x v="1"/>
    <s v="Боевик"/>
    <s v="Двойной удар"/>
    <n v="30"/>
    <n v="140"/>
    <n v="4200"/>
    <x v="0"/>
  </r>
  <r>
    <n v="4281"/>
    <x v="1"/>
    <s v="Комедия"/>
    <s v="За двома зайцями"/>
    <n v="39"/>
    <n v="140"/>
    <n v="5460"/>
    <x v="0"/>
  </r>
  <r>
    <n v="9627"/>
    <x v="3"/>
    <s v="Фантастика"/>
    <s v="Похищение Европы"/>
    <n v="52"/>
    <n v="140"/>
    <n v="7280"/>
    <x v="0"/>
  </r>
  <r>
    <n v="7845"/>
    <x v="1"/>
    <s v="Фантастика"/>
    <s v="Лангольеры"/>
    <n v="54"/>
    <n v="250"/>
    <n v="13500"/>
    <x v="0"/>
  </r>
  <r>
    <n v="2103"/>
    <x v="1"/>
    <s v="Комедия"/>
    <s v="Бум 1,2"/>
    <n v="30"/>
    <n v="505"/>
    <n v="15150"/>
    <x v="0"/>
  </r>
  <r>
    <n v="7251"/>
    <x v="3"/>
    <s v="Фантастика"/>
    <s v="Космическая полицыя"/>
    <n v="30"/>
    <n v="505"/>
    <n v="15150"/>
    <x v="0"/>
  </r>
  <r>
    <n v="10023"/>
    <x v="1"/>
    <s v="Комедия"/>
    <s v="Свадьба в Малиновке"/>
    <n v="50"/>
    <n v="505"/>
    <n v="25250"/>
    <x v="0"/>
  </r>
  <r>
    <n v="9825"/>
    <x v="0"/>
    <s v="Комедия"/>
    <s v="Свадьба в Малиновке"/>
    <n v="50"/>
    <n v="520"/>
    <n v="26000"/>
    <x v="0"/>
  </r>
  <r>
    <n v="10617"/>
    <x v="1"/>
    <s v="Фантастика"/>
    <s v="Синий бархат"/>
    <n v="40"/>
    <n v="520"/>
    <n v="20800"/>
    <x v="0"/>
  </r>
  <r>
    <n v="9429"/>
    <x v="2"/>
    <s v="Фантастика"/>
    <s v="Похищение Европы"/>
    <n v="52"/>
    <n v="525"/>
    <n v="27300"/>
    <x v="0"/>
  </r>
  <r>
    <n v="12003"/>
    <x v="0"/>
    <s v="Комедия"/>
    <s v="Шельменко денщик"/>
    <n v="10"/>
    <n v="525"/>
    <n v="5250"/>
    <x v="0"/>
  </r>
  <r>
    <n v="10815"/>
    <x v="3"/>
    <s v="Фантастика"/>
    <s v="Синий бархат"/>
    <n v="40"/>
    <n v="526"/>
    <n v="21040"/>
    <x v="0"/>
  </r>
  <r>
    <n v="12399"/>
    <x v="3"/>
    <s v="Комедия"/>
    <s v="Шельменко денщик"/>
    <n v="10"/>
    <n v="526"/>
    <n v="5260"/>
    <x v="0"/>
  </r>
  <r>
    <n v="7449"/>
    <x v="2"/>
    <s v="Боевик"/>
    <s v="Крепкий орешек"/>
    <n v="52"/>
    <n v="3225"/>
    <n v="16770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E7643E-339E-4762-A5C2-F75B10F302E1}" name="Сводная таблица1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K9:Q15" firstHeaderRow="1" firstDataRow="2" firstDataCol="1"/>
  <pivotFields count="7">
    <pivotField showAll="0"/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6">
        <item x="0"/>
        <item x="1"/>
        <item x="4"/>
        <item x="3"/>
        <item x="2"/>
        <item t="default"/>
      </items>
    </pivotField>
    <pivotField showAll="0">
      <items count="23">
        <item x="13"/>
        <item x="8"/>
        <item x="14"/>
        <item x="15"/>
        <item x="17"/>
        <item x="4"/>
        <item x="1"/>
        <item x="7"/>
        <item x="2"/>
        <item x="3"/>
        <item x="5"/>
        <item x="19"/>
        <item x="16"/>
        <item x="11"/>
        <item x="12"/>
        <item x="9"/>
        <item x="20"/>
        <item x="6"/>
        <item x="21"/>
        <item x="0"/>
        <item x="10"/>
        <item x="18"/>
        <item t="default"/>
      </items>
    </pivotField>
    <pivotField dataField="1"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Сумма по полю Цена за единицу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F06D48-7417-4C5F-BD99-F297AF3010F5}" name="Сводная таблица7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K45:M50" firstHeaderRow="0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>
      <items count="2"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 по полю Всего" fld="6" baseField="0" baseItem="0"/>
    <dataField name="Проценц в продажи" fld="6" showDataAs="percentOfTota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9C456C-05D3-4753-B853-26883F40163D}" name="Сводная таблица6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K18:P42" firstHeaderRow="1" firstDataRow="2" firstDataCol="1"/>
  <pivotFields count="6">
    <pivotField axis="axisCol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23">
        <item x="13"/>
        <item x="8"/>
        <item x="14"/>
        <item x="15"/>
        <item x="17"/>
        <item x="4"/>
        <item x="1"/>
        <item x="7"/>
        <item x="2"/>
        <item x="3"/>
        <item x="5"/>
        <item x="19"/>
        <item x="16"/>
        <item x="11"/>
        <item x="12"/>
        <item x="9"/>
        <item x="20"/>
        <item x="6"/>
        <item x="21"/>
        <item x="0"/>
        <item x="10"/>
        <item x="18"/>
        <item t="default"/>
      </items>
    </pivotField>
    <pivotField showAll="0"/>
    <pivotField dataField="1" showAll="0"/>
    <pivotField showAll="0"/>
  </pivotFields>
  <rowFields count="1">
    <field x="2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Сумма по полю Количество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9AB373-2ED9-4116-B970-C5E04FE761DE}" name="Сводная таблица9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K53:O59" firstHeaderRow="0" firstDataRow="1" firstDataCol="1"/>
  <pivotFields count="7">
    <pivotField showAll="0"/>
    <pivotField showAll="0"/>
    <pivotField axis="axisRow" showAll="0">
      <items count="6">
        <item x="0"/>
        <item x="1"/>
        <item x="4"/>
        <item x="3"/>
        <item x="2"/>
        <item t="default"/>
      </items>
    </pivotField>
    <pivotField showAll="0"/>
    <pivotField dataField="1"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Сумма по полю Цена за единицу" fld="4" baseField="0" baseItem="0"/>
    <dataField name="Минимум по полю Цена за единицу4" fld="4" subtotal="min" baseField="2" baseItem="0"/>
    <dataField name="Среднее по полю Цена за единицу3" fld="4" subtotal="average" baseField="2" baseItem="0"/>
    <dataField name="Максимум по полю Цена за единицу2" fld="4" subtotal="max" baseField="2" baseItem="0"/>
  </dataField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"/>
  <sheetViews>
    <sheetView tabSelected="1" topLeftCell="G1" zoomScale="90" workbookViewId="0">
      <selection activeCell="N49" sqref="N49"/>
    </sheetView>
  </sheetViews>
  <sheetFormatPr defaultRowHeight="20" x14ac:dyDescent="0.4"/>
  <cols>
    <col min="1" max="1" width="12.7265625" style="1" customWidth="1"/>
    <col min="2" max="2" width="21.36328125" style="1" customWidth="1"/>
    <col min="3" max="3" width="22.90625" style="1" customWidth="1"/>
    <col min="4" max="4" width="38" style="1" customWidth="1"/>
    <col min="5" max="5" width="17.08984375" style="1" customWidth="1"/>
    <col min="6" max="6" width="17.54296875" style="1" customWidth="1"/>
    <col min="7" max="7" width="20.36328125" style="1" customWidth="1"/>
    <col min="8" max="8" width="25" bestFit="1" customWidth="1"/>
    <col min="11" max="11" width="17.7265625" bestFit="1" customWidth="1"/>
    <col min="12" max="12" width="31.26953125" bestFit="1" customWidth="1"/>
    <col min="13" max="13" width="34.90625" bestFit="1" customWidth="1"/>
    <col min="14" max="14" width="34.36328125" bestFit="1" customWidth="1"/>
    <col min="15" max="15" width="35.6328125" bestFit="1" customWidth="1"/>
    <col min="16" max="16" width="14.36328125" bestFit="1" customWidth="1"/>
    <col min="17" max="17" width="11.6328125" bestFit="1" customWidth="1"/>
    <col min="18" max="27" width="14.36328125" bestFit="1" customWidth="1"/>
    <col min="28" max="28" width="15.36328125" bestFit="1" customWidth="1"/>
    <col min="29" max="33" width="14.36328125" bestFit="1" customWidth="1"/>
    <col min="34" max="34" width="11.08984375" bestFit="1" customWidth="1"/>
    <col min="35" max="35" width="11.6328125" bestFit="1" customWidth="1"/>
  </cols>
  <sheetData>
    <row r="1" spans="1:17" s="2" customFormat="1" ht="38.25" customHeight="1" x14ac:dyDescent="0.25">
      <c r="A1" s="3" t="s">
        <v>37</v>
      </c>
      <c r="B1" s="4" t="s">
        <v>0</v>
      </c>
      <c r="C1" s="4" t="s">
        <v>1</v>
      </c>
      <c r="D1" s="4" t="s">
        <v>27</v>
      </c>
      <c r="E1" s="3" t="s">
        <v>28</v>
      </c>
      <c r="F1" s="4" t="s">
        <v>36</v>
      </c>
      <c r="G1" s="3" t="s">
        <v>29</v>
      </c>
    </row>
    <row r="2" spans="1:17" ht="21" x14ac:dyDescent="0.5">
      <c r="A2" s="5">
        <v>11013</v>
      </c>
      <c r="B2" s="5" t="s">
        <v>30</v>
      </c>
      <c r="C2" s="5" t="s">
        <v>35</v>
      </c>
      <c r="D2" s="5" t="s">
        <v>24</v>
      </c>
      <c r="E2" s="5">
        <v>40</v>
      </c>
      <c r="F2" s="5">
        <v>2</v>
      </c>
      <c r="G2" s="5">
        <f t="shared" ref="G2:G33" si="0">E2*F2</f>
        <v>80</v>
      </c>
    </row>
    <row r="3" spans="1:17" ht="21" x14ac:dyDescent="0.5">
      <c r="A3" s="5">
        <v>3489</v>
      </c>
      <c r="B3" s="5" t="s">
        <v>31</v>
      </c>
      <c r="C3" s="5" t="s">
        <v>2</v>
      </c>
      <c r="D3" s="5" t="s">
        <v>10</v>
      </c>
      <c r="E3" s="5">
        <v>35</v>
      </c>
      <c r="F3" s="5">
        <v>3</v>
      </c>
      <c r="G3" s="5">
        <f t="shared" si="0"/>
        <v>105</v>
      </c>
    </row>
    <row r="4" spans="1:17" ht="21" x14ac:dyDescent="0.5">
      <c r="A4" s="5">
        <v>5073</v>
      </c>
      <c r="B4" s="5" t="s">
        <v>31</v>
      </c>
      <c r="C4" s="5" t="s">
        <v>33</v>
      </c>
      <c r="D4" s="5" t="s">
        <v>12</v>
      </c>
      <c r="E4" s="5">
        <v>32</v>
      </c>
      <c r="F4" s="5">
        <v>3</v>
      </c>
      <c r="G4" s="5">
        <f t="shared" si="0"/>
        <v>96</v>
      </c>
    </row>
    <row r="5" spans="1:17" ht="21" x14ac:dyDescent="0.5">
      <c r="A5" s="5">
        <v>5865</v>
      </c>
      <c r="B5" s="5" t="s">
        <v>32</v>
      </c>
      <c r="C5" s="5" t="s">
        <v>13</v>
      </c>
      <c r="D5" s="5" t="s">
        <v>14</v>
      </c>
      <c r="E5" s="5">
        <v>52</v>
      </c>
      <c r="F5" s="5">
        <v>3</v>
      </c>
      <c r="G5" s="5">
        <f t="shared" si="0"/>
        <v>156</v>
      </c>
    </row>
    <row r="6" spans="1:17" ht="21" x14ac:dyDescent="0.5">
      <c r="A6" s="5">
        <v>2697</v>
      </c>
      <c r="B6" s="5" t="s">
        <v>30</v>
      </c>
      <c r="C6" s="5" t="s">
        <v>35</v>
      </c>
      <c r="D6" s="5" t="s">
        <v>9</v>
      </c>
      <c r="E6" s="5">
        <v>30</v>
      </c>
      <c r="F6" s="5">
        <v>10</v>
      </c>
      <c r="G6" s="5">
        <f t="shared" si="0"/>
        <v>300</v>
      </c>
    </row>
    <row r="7" spans="1:17" ht="21" x14ac:dyDescent="0.5">
      <c r="A7" s="5">
        <v>6063</v>
      </c>
      <c r="B7" s="5" t="s">
        <v>30</v>
      </c>
      <c r="C7" s="5" t="s">
        <v>33</v>
      </c>
      <c r="D7" s="5" t="s">
        <v>15</v>
      </c>
      <c r="E7" s="5">
        <v>35</v>
      </c>
      <c r="F7" s="5">
        <v>10</v>
      </c>
      <c r="G7" s="5">
        <f t="shared" si="0"/>
        <v>350</v>
      </c>
    </row>
    <row r="8" spans="1:17" ht="21" x14ac:dyDescent="0.5">
      <c r="A8" s="5">
        <v>10221</v>
      </c>
      <c r="B8" s="5" t="s">
        <v>32</v>
      </c>
      <c r="C8" s="5" t="s">
        <v>34</v>
      </c>
      <c r="D8" s="5" t="s">
        <v>22</v>
      </c>
      <c r="E8" s="5">
        <v>50</v>
      </c>
      <c r="F8" s="5">
        <v>21</v>
      </c>
      <c r="G8" s="5">
        <f t="shared" si="0"/>
        <v>1050</v>
      </c>
    </row>
    <row r="9" spans="1:17" ht="21" x14ac:dyDescent="0.5">
      <c r="A9" s="5">
        <v>4479</v>
      </c>
      <c r="B9" s="5" t="s">
        <v>32</v>
      </c>
      <c r="C9" s="5" t="s">
        <v>34</v>
      </c>
      <c r="D9" s="5" t="s">
        <v>11</v>
      </c>
      <c r="E9" s="5">
        <v>39</v>
      </c>
      <c r="F9" s="5">
        <v>23</v>
      </c>
      <c r="G9" s="5">
        <f t="shared" si="0"/>
        <v>897</v>
      </c>
      <c r="K9" s="6" t="s">
        <v>41</v>
      </c>
      <c r="L9" s="6" t="s">
        <v>40</v>
      </c>
    </row>
    <row r="10" spans="1:17" ht="21" x14ac:dyDescent="0.5">
      <c r="A10" s="5">
        <v>4875</v>
      </c>
      <c r="B10" s="5" t="s">
        <v>30</v>
      </c>
      <c r="C10" s="5" t="s">
        <v>33</v>
      </c>
      <c r="D10" s="5" t="s">
        <v>12</v>
      </c>
      <c r="E10" s="5">
        <v>32</v>
      </c>
      <c r="F10" s="5">
        <v>25</v>
      </c>
      <c r="G10" s="5">
        <f t="shared" si="0"/>
        <v>800</v>
      </c>
      <c r="K10" s="6" t="s">
        <v>38</v>
      </c>
      <c r="L10" t="s">
        <v>35</v>
      </c>
      <c r="M10" t="s">
        <v>2</v>
      </c>
      <c r="N10" t="s">
        <v>34</v>
      </c>
      <c r="O10" t="s">
        <v>13</v>
      </c>
      <c r="P10" t="s">
        <v>33</v>
      </c>
      <c r="Q10" t="s">
        <v>39</v>
      </c>
    </row>
    <row r="11" spans="1:17" ht="21" x14ac:dyDescent="0.5">
      <c r="A11" s="5">
        <v>1113</v>
      </c>
      <c r="B11" s="5" t="s">
        <v>5</v>
      </c>
      <c r="C11" s="5" t="s">
        <v>33</v>
      </c>
      <c r="D11" s="5" t="s">
        <v>4</v>
      </c>
      <c r="E11" s="5">
        <v>25</v>
      </c>
      <c r="F11" s="5">
        <v>30</v>
      </c>
      <c r="G11" s="5">
        <f t="shared" si="0"/>
        <v>750</v>
      </c>
      <c r="K11" s="7" t="s">
        <v>30</v>
      </c>
      <c r="L11">
        <v>70</v>
      </c>
      <c r="M11">
        <v>79</v>
      </c>
      <c r="N11">
        <v>129</v>
      </c>
      <c r="O11">
        <v>80</v>
      </c>
      <c r="P11">
        <v>92</v>
      </c>
      <c r="Q11">
        <v>450</v>
      </c>
    </row>
    <row r="12" spans="1:17" ht="21" x14ac:dyDescent="0.5">
      <c r="A12" s="5">
        <v>3687</v>
      </c>
      <c r="B12" s="5" t="s">
        <v>32</v>
      </c>
      <c r="C12" s="5" t="s">
        <v>2</v>
      </c>
      <c r="D12" s="5" t="s">
        <v>10</v>
      </c>
      <c r="E12" s="5">
        <v>35</v>
      </c>
      <c r="F12" s="5">
        <v>30</v>
      </c>
      <c r="G12" s="5">
        <f t="shared" si="0"/>
        <v>1050</v>
      </c>
      <c r="K12" s="7" t="s">
        <v>31</v>
      </c>
      <c r="L12">
        <v>30</v>
      </c>
      <c r="M12">
        <v>149</v>
      </c>
      <c r="N12">
        <v>159</v>
      </c>
      <c r="O12">
        <v>176</v>
      </c>
      <c r="P12">
        <v>67</v>
      </c>
      <c r="Q12">
        <v>581</v>
      </c>
    </row>
    <row r="13" spans="1:17" ht="21" x14ac:dyDescent="0.5">
      <c r="A13" s="5">
        <v>8637</v>
      </c>
      <c r="B13" s="5" t="s">
        <v>30</v>
      </c>
      <c r="C13" s="5" t="s">
        <v>2</v>
      </c>
      <c r="D13" s="5" t="s">
        <v>20</v>
      </c>
      <c r="E13" s="5">
        <v>54</v>
      </c>
      <c r="F13" s="5">
        <v>30</v>
      </c>
      <c r="G13" s="5">
        <f t="shared" si="0"/>
        <v>1620</v>
      </c>
      <c r="K13" s="7" t="s">
        <v>32</v>
      </c>
      <c r="L13">
        <v>82</v>
      </c>
      <c r="M13">
        <v>149</v>
      </c>
      <c r="N13">
        <v>149</v>
      </c>
      <c r="O13">
        <v>154</v>
      </c>
      <c r="P13">
        <v>92</v>
      </c>
      <c r="Q13">
        <v>626</v>
      </c>
    </row>
    <row r="14" spans="1:17" ht="21" x14ac:dyDescent="0.5">
      <c r="A14" s="5">
        <v>11805</v>
      </c>
      <c r="B14" s="5" t="s">
        <v>5</v>
      </c>
      <c r="C14" s="5" t="s">
        <v>2</v>
      </c>
      <c r="D14" s="5" t="s">
        <v>25</v>
      </c>
      <c r="E14" s="5">
        <v>35</v>
      </c>
      <c r="F14" s="5">
        <v>30</v>
      </c>
      <c r="G14" s="5">
        <f t="shared" si="0"/>
        <v>1050</v>
      </c>
      <c r="K14" s="7" t="s">
        <v>5</v>
      </c>
      <c r="L14">
        <v>122</v>
      </c>
      <c r="M14">
        <v>124</v>
      </c>
      <c r="N14">
        <v>159</v>
      </c>
      <c r="O14">
        <v>176</v>
      </c>
      <c r="P14">
        <v>92</v>
      </c>
      <c r="Q14">
        <v>673</v>
      </c>
    </row>
    <row r="15" spans="1:17" ht="21" x14ac:dyDescent="0.5">
      <c r="A15" s="5">
        <v>4083</v>
      </c>
      <c r="B15" s="5" t="s">
        <v>30</v>
      </c>
      <c r="C15" s="5" t="s">
        <v>34</v>
      </c>
      <c r="D15" s="5" t="s">
        <v>11</v>
      </c>
      <c r="E15" s="5">
        <v>39</v>
      </c>
      <c r="F15" s="5">
        <v>31</v>
      </c>
      <c r="G15" s="5">
        <f t="shared" si="0"/>
        <v>1209</v>
      </c>
      <c r="K15" s="7" t="s">
        <v>39</v>
      </c>
      <c r="L15">
        <v>304</v>
      </c>
      <c r="M15">
        <v>501</v>
      </c>
      <c r="N15">
        <v>596</v>
      </c>
      <c r="O15">
        <v>586</v>
      </c>
      <c r="P15">
        <v>343</v>
      </c>
      <c r="Q15">
        <v>2330</v>
      </c>
    </row>
    <row r="16" spans="1:17" ht="21" x14ac:dyDescent="0.5">
      <c r="A16" s="5">
        <v>6261</v>
      </c>
      <c r="B16" s="5" t="s">
        <v>31</v>
      </c>
      <c r="C16" s="5" t="s">
        <v>33</v>
      </c>
      <c r="D16" s="5" t="s">
        <v>15</v>
      </c>
      <c r="E16" s="5">
        <v>35</v>
      </c>
      <c r="F16" s="5">
        <v>32</v>
      </c>
      <c r="G16" s="5">
        <f t="shared" si="0"/>
        <v>1120</v>
      </c>
    </row>
    <row r="17" spans="1:16" ht="21" x14ac:dyDescent="0.5">
      <c r="A17" s="5">
        <v>8043</v>
      </c>
      <c r="B17" s="5" t="s">
        <v>5</v>
      </c>
      <c r="C17" s="5" t="s">
        <v>13</v>
      </c>
      <c r="D17" s="5" t="s">
        <v>18</v>
      </c>
      <c r="E17" s="5">
        <v>54</v>
      </c>
      <c r="F17" s="5">
        <v>32</v>
      </c>
      <c r="G17" s="5">
        <f t="shared" si="0"/>
        <v>1728</v>
      </c>
    </row>
    <row r="18" spans="1:16" ht="21" x14ac:dyDescent="0.5">
      <c r="A18" s="5">
        <v>8439</v>
      </c>
      <c r="B18" s="5" t="s">
        <v>32</v>
      </c>
      <c r="C18" s="5" t="s">
        <v>13</v>
      </c>
      <c r="D18" s="5" t="s">
        <v>19</v>
      </c>
      <c r="E18" s="5">
        <v>50</v>
      </c>
      <c r="F18" s="5">
        <v>32</v>
      </c>
      <c r="G18" s="5">
        <f t="shared" si="0"/>
        <v>1600</v>
      </c>
      <c r="K18" s="6" t="s">
        <v>42</v>
      </c>
      <c r="L18" s="6" t="s">
        <v>40</v>
      </c>
    </row>
    <row r="19" spans="1:16" ht="21" x14ac:dyDescent="0.5">
      <c r="A19" s="5">
        <v>123</v>
      </c>
      <c r="B19" s="5" t="s">
        <v>30</v>
      </c>
      <c r="C19" s="5" t="s">
        <v>2</v>
      </c>
      <c r="D19" s="5" t="s">
        <v>3</v>
      </c>
      <c r="E19" s="5">
        <v>25</v>
      </c>
      <c r="F19" s="5">
        <v>35</v>
      </c>
      <c r="G19" s="5">
        <f t="shared" si="0"/>
        <v>875</v>
      </c>
      <c r="K19" s="6" t="s">
        <v>38</v>
      </c>
      <c r="L19" t="s">
        <v>30</v>
      </c>
      <c r="M19" t="s">
        <v>31</v>
      </c>
      <c r="N19" t="s">
        <v>32</v>
      </c>
      <c r="O19" t="s">
        <v>5</v>
      </c>
      <c r="P19" t="s">
        <v>39</v>
      </c>
    </row>
    <row r="20" spans="1:16" ht="21" x14ac:dyDescent="0.5">
      <c r="A20" s="5">
        <v>717</v>
      </c>
      <c r="B20" s="5" t="s">
        <v>30</v>
      </c>
      <c r="C20" s="5" t="s">
        <v>33</v>
      </c>
      <c r="D20" s="5" t="s">
        <v>4</v>
      </c>
      <c r="E20" s="5">
        <v>25</v>
      </c>
      <c r="F20" s="5">
        <v>35</v>
      </c>
      <c r="G20" s="5">
        <f t="shared" si="0"/>
        <v>875</v>
      </c>
      <c r="K20" s="7" t="s">
        <v>3</v>
      </c>
      <c r="L20">
        <v>35</v>
      </c>
      <c r="M20">
        <v>40</v>
      </c>
      <c r="N20">
        <v>54</v>
      </c>
      <c r="P20">
        <v>129</v>
      </c>
    </row>
    <row r="21" spans="1:16" ht="21" x14ac:dyDescent="0.5">
      <c r="A21" s="5">
        <v>1311</v>
      </c>
      <c r="B21" s="5" t="s">
        <v>30</v>
      </c>
      <c r="C21" s="5" t="s">
        <v>34</v>
      </c>
      <c r="D21" s="5" t="s">
        <v>6</v>
      </c>
      <c r="E21" s="5">
        <v>30</v>
      </c>
      <c r="F21" s="5">
        <v>35</v>
      </c>
      <c r="G21" s="5">
        <f t="shared" si="0"/>
        <v>1050</v>
      </c>
      <c r="K21" s="7" t="s">
        <v>4</v>
      </c>
      <c r="L21">
        <v>35</v>
      </c>
      <c r="N21">
        <v>54</v>
      </c>
      <c r="O21">
        <v>30</v>
      </c>
      <c r="P21">
        <v>119</v>
      </c>
    </row>
    <row r="22" spans="1:16" ht="21" x14ac:dyDescent="0.5">
      <c r="A22" s="5">
        <v>1509</v>
      </c>
      <c r="B22" s="5" t="s">
        <v>31</v>
      </c>
      <c r="C22" s="5" t="s">
        <v>34</v>
      </c>
      <c r="D22" s="5" t="s">
        <v>6</v>
      </c>
      <c r="E22" s="5">
        <v>30</v>
      </c>
      <c r="F22" s="5">
        <v>35</v>
      </c>
      <c r="G22" s="5">
        <f t="shared" si="0"/>
        <v>1050</v>
      </c>
      <c r="K22" s="7" t="s">
        <v>6</v>
      </c>
      <c r="L22">
        <v>35</v>
      </c>
      <c r="M22">
        <v>35</v>
      </c>
      <c r="N22">
        <v>40</v>
      </c>
      <c r="O22">
        <v>50</v>
      </c>
      <c r="P22">
        <v>160</v>
      </c>
    </row>
    <row r="23" spans="1:16" ht="21" x14ac:dyDescent="0.5">
      <c r="A23" s="5">
        <v>2301</v>
      </c>
      <c r="B23" s="5" t="s">
        <v>32</v>
      </c>
      <c r="C23" s="5" t="s">
        <v>34</v>
      </c>
      <c r="D23" s="5" t="s">
        <v>7</v>
      </c>
      <c r="E23" s="5">
        <v>30</v>
      </c>
      <c r="F23" s="5">
        <v>35</v>
      </c>
      <c r="G23" s="5">
        <f t="shared" si="0"/>
        <v>1050</v>
      </c>
      <c r="K23" s="7" t="s">
        <v>7</v>
      </c>
      <c r="M23">
        <v>505</v>
      </c>
      <c r="N23">
        <v>35</v>
      </c>
      <c r="P23">
        <v>540</v>
      </c>
    </row>
    <row r="24" spans="1:16" ht="21" x14ac:dyDescent="0.5">
      <c r="A24" s="5">
        <v>8241</v>
      </c>
      <c r="B24" s="5" t="s">
        <v>30</v>
      </c>
      <c r="C24" s="5" t="s">
        <v>13</v>
      </c>
      <c r="D24" s="5" t="s">
        <v>19</v>
      </c>
      <c r="E24" s="5">
        <v>50</v>
      </c>
      <c r="F24" s="5">
        <v>35</v>
      </c>
      <c r="G24" s="5">
        <f t="shared" si="0"/>
        <v>1750</v>
      </c>
      <c r="K24" s="7" t="s">
        <v>8</v>
      </c>
      <c r="O24">
        <v>50</v>
      </c>
      <c r="P24">
        <v>50</v>
      </c>
    </row>
    <row r="25" spans="1:16" ht="21" x14ac:dyDescent="0.5">
      <c r="A25" s="5">
        <v>8835</v>
      </c>
      <c r="B25" s="5" t="s">
        <v>31</v>
      </c>
      <c r="C25" s="5" t="s">
        <v>2</v>
      </c>
      <c r="D25" s="5" t="s">
        <v>20</v>
      </c>
      <c r="E25" s="5">
        <v>54</v>
      </c>
      <c r="F25" s="5">
        <v>35</v>
      </c>
      <c r="G25" s="5">
        <f t="shared" si="0"/>
        <v>1890</v>
      </c>
      <c r="K25" s="7" t="s">
        <v>9</v>
      </c>
      <c r="L25">
        <v>10</v>
      </c>
      <c r="M25">
        <v>140</v>
      </c>
      <c r="N25">
        <v>50</v>
      </c>
      <c r="O25">
        <v>50</v>
      </c>
      <c r="P25">
        <v>250</v>
      </c>
    </row>
    <row r="26" spans="1:16" ht="21" x14ac:dyDescent="0.5">
      <c r="A26" s="5">
        <v>11211</v>
      </c>
      <c r="B26" s="5" t="s">
        <v>5</v>
      </c>
      <c r="C26" s="5" t="s">
        <v>35</v>
      </c>
      <c r="D26" s="5" t="s">
        <v>24</v>
      </c>
      <c r="E26" s="5">
        <v>40</v>
      </c>
      <c r="F26" s="5">
        <v>35</v>
      </c>
      <c r="G26" s="5">
        <f t="shared" si="0"/>
        <v>1400</v>
      </c>
      <c r="K26" s="7" t="s">
        <v>10</v>
      </c>
      <c r="M26">
        <v>3</v>
      </c>
      <c r="N26">
        <v>30</v>
      </c>
      <c r="O26">
        <v>40</v>
      </c>
      <c r="P26">
        <v>73</v>
      </c>
    </row>
    <row r="27" spans="1:16" ht="21" x14ac:dyDescent="0.5">
      <c r="A27" s="5">
        <v>11409</v>
      </c>
      <c r="B27" s="5" t="s">
        <v>31</v>
      </c>
      <c r="C27" s="5" t="s">
        <v>2</v>
      </c>
      <c r="D27" s="5" t="s">
        <v>25</v>
      </c>
      <c r="E27" s="5">
        <v>35</v>
      </c>
      <c r="F27" s="5">
        <v>35</v>
      </c>
      <c r="G27" s="5">
        <f t="shared" si="0"/>
        <v>1225</v>
      </c>
      <c r="K27" s="7" t="s">
        <v>11</v>
      </c>
      <c r="L27">
        <v>31</v>
      </c>
      <c r="M27">
        <v>140</v>
      </c>
      <c r="N27">
        <v>23</v>
      </c>
      <c r="O27">
        <v>50</v>
      </c>
      <c r="P27">
        <v>244</v>
      </c>
    </row>
    <row r="28" spans="1:16" ht="21" x14ac:dyDescent="0.5">
      <c r="A28" s="5">
        <v>5667</v>
      </c>
      <c r="B28" s="5" t="s">
        <v>31</v>
      </c>
      <c r="C28" s="5" t="s">
        <v>13</v>
      </c>
      <c r="D28" s="5" t="s">
        <v>14</v>
      </c>
      <c r="E28" s="5">
        <v>52</v>
      </c>
      <c r="F28" s="5">
        <v>39</v>
      </c>
      <c r="G28" s="5">
        <f t="shared" si="0"/>
        <v>2028</v>
      </c>
      <c r="K28" s="7" t="s">
        <v>12</v>
      </c>
      <c r="L28">
        <v>25</v>
      </c>
      <c r="M28">
        <v>3</v>
      </c>
      <c r="N28">
        <v>54</v>
      </c>
      <c r="O28">
        <v>40</v>
      </c>
      <c r="P28">
        <v>122</v>
      </c>
    </row>
    <row r="29" spans="1:16" ht="21" x14ac:dyDescent="0.5">
      <c r="A29" s="5">
        <v>321</v>
      </c>
      <c r="B29" s="5" t="s">
        <v>31</v>
      </c>
      <c r="C29" s="5" t="s">
        <v>2</v>
      </c>
      <c r="D29" s="5" t="s">
        <v>3</v>
      </c>
      <c r="E29" s="5">
        <v>25</v>
      </c>
      <c r="F29" s="5">
        <v>40</v>
      </c>
      <c r="G29" s="5">
        <f t="shared" si="0"/>
        <v>1000</v>
      </c>
      <c r="K29" s="7" t="s">
        <v>14</v>
      </c>
      <c r="M29">
        <v>39</v>
      </c>
      <c r="N29">
        <v>3</v>
      </c>
      <c r="P29">
        <v>42</v>
      </c>
    </row>
    <row r="30" spans="1:16" ht="21" x14ac:dyDescent="0.5">
      <c r="A30" s="5">
        <v>1707</v>
      </c>
      <c r="B30" s="5" t="s">
        <v>32</v>
      </c>
      <c r="C30" s="5" t="s">
        <v>34</v>
      </c>
      <c r="D30" s="5" t="s">
        <v>6</v>
      </c>
      <c r="E30" s="5">
        <v>30</v>
      </c>
      <c r="F30" s="5">
        <v>40</v>
      </c>
      <c r="G30" s="5">
        <f t="shared" si="0"/>
        <v>1200</v>
      </c>
      <c r="K30" s="7" t="s">
        <v>15</v>
      </c>
      <c r="L30">
        <v>10</v>
      </c>
      <c r="M30">
        <v>32</v>
      </c>
      <c r="N30">
        <v>54</v>
      </c>
      <c r="O30">
        <v>40</v>
      </c>
      <c r="P30">
        <v>136</v>
      </c>
    </row>
    <row r="31" spans="1:16" ht="21" x14ac:dyDescent="0.5">
      <c r="A31" s="5">
        <v>3885</v>
      </c>
      <c r="B31" s="5" t="s">
        <v>5</v>
      </c>
      <c r="C31" s="5" t="s">
        <v>2</v>
      </c>
      <c r="D31" s="5" t="s">
        <v>10</v>
      </c>
      <c r="E31" s="5">
        <v>35</v>
      </c>
      <c r="F31" s="5">
        <v>40</v>
      </c>
      <c r="G31" s="5">
        <f t="shared" si="0"/>
        <v>1400</v>
      </c>
      <c r="K31" s="7" t="s">
        <v>16</v>
      </c>
      <c r="L31">
        <v>52</v>
      </c>
      <c r="M31">
        <v>54</v>
      </c>
      <c r="O31">
        <v>505</v>
      </c>
      <c r="P31">
        <v>611</v>
      </c>
    </row>
    <row r="32" spans="1:16" ht="21" x14ac:dyDescent="0.5">
      <c r="A32" s="5">
        <v>5469</v>
      </c>
      <c r="B32" s="5" t="s">
        <v>5</v>
      </c>
      <c r="C32" s="5" t="s">
        <v>33</v>
      </c>
      <c r="D32" s="5" t="s">
        <v>12</v>
      </c>
      <c r="E32" s="5">
        <v>32</v>
      </c>
      <c r="F32" s="5">
        <v>40</v>
      </c>
      <c r="G32" s="5">
        <f t="shared" si="0"/>
        <v>1280</v>
      </c>
      <c r="K32" s="7" t="s">
        <v>17</v>
      </c>
      <c r="N32">
        <v>3225</v>
      </c>
      <c r="O32">
        <v>40</v>
      </c>
      <c r="P32">
        <v>3265</v>
      </c>
    </row>
    <row r="33" spans="1:16" ht="21" x14ac:dyDescent="0.5">
      <c r="A33" s="5">
        <v>6657</v>
      </c>
      <c r="B33" s="5" t="s">
        <v>5</v>
      </c>
      <c r="C33" s="5" t="s">
        <v>33</v>
      </c>
      <c r="D33" s="5" t="s">
        <v>15</v>
      </c>
      <c r="E33" s="5">
        <v>35</v>
      </c>
      <c r="F33" s="5">
        <v>40</v>
      </c>
      <c r="G33" s="5">
        <f t="shared" si="0"/>
        <v>1400</v>
      </c>
      <c r="K33" s="7" t="s">
        <v>18</v>
      </c>
      <c r="M33">
        <v>250</v>
      </c>
      <c r="O33">
        <v>32</v>
      </c>
      <c r="P33">
        <v>282</v>
      </c>
    </row>
    <row r="34" spans="1:16" ht="21" x14ac:dyDescent="0.5">
      <c r="A34" s="5">
        <v>7647</v>
      </c>
      <c r="B34" s="5" t="s">
        <v>5</v>
      </c>
      <c r="C34" s="5" t="s">
        <v>35</v>
      </c>
      <c r="D34" s="5" t="s">
        <v>17</v>
      </c>
      <c r="E34" s="5">
        <v>52</v>
      </c>
      <c r="F34" s="5">
        <v>40</v>
      </c>
      <c r="G34" s="5">
        <f t="shared" ref="G34:G64" si="1">E34*F34</f>
        <v>2080</v>
      </c>
      <c r="K34" s="7" t="s">
        <v>19</v>
      </c>
      <c r="L34">
        <v>35</v>
      </c>
      <c r="N34">
        <v>32</v>
      </c>
      <c r="P34">
        <v>67</v>
      </c>
    </row>
    <row r="35" spans="1:16" ht="21" x14ac:dyDescent="0.5">
      <c r="A35" s="5">
        <v>9231</v>
      </c>
      <c r="B35" s="5" t="s">
        <v>5</v>
      </c>
      <c r="C35" s="5" t="s">
        <v>2</v>
      </c>
      <c r="D35" s="5" t="s">
        <v>20</v>
      </c>
      <c r="E35" s="5">
        <v>54</v>
      </c>
      <c r="F35" s="5">
        <v>40</v>
      </c>
      <c r="G35" s="5">
        <f t="shared" si="1"/>
        <v>2160</v>
      </c>
      <c r="K35" s="7" t="s">
        <v>20</v>
      </c>
      <c r="L35">
        <v>30</v>
      </c>
      <c r="M35">
        <v>35</v>
      </c>
      <c r="N35">
        <v>54</v>
      </c>
      <c r="O35">
        <v>40</v>
      </c>
      <c r="P35">
        <v>159</v>
      </c>
    </row>
    <row r="36" spans="1:16" ht="21" x14ac:dyDescent="0.5">
      <c r="A36" s="5">
        <v>1905</v>
      </c>
      <c r="B36" s="5" t="s">
        <v>5</v>
      </c>
      <c r="C36" s="5" t="s">
        <v>34</v>
      </c>
      <c r="D36" s="5" t="s">
        <v>6</v>
      </c>
      <c r="E36" s="5">
        <v>30</v>
      </c>
      <c r="F36" s="5">
        <v>50</v>
      </c>
      <c r="G36" s="5">
        <f t="shared" si="1"/>
        <v>1500</v>
      </c>
      <c r="K36" s="7" t="s">
        <v>21</v>
      </c>
      <c r="N36">
        <v>525</v>
      </c>
      <c r="O36">
        <v>140</v>
      </c>
      <c r="P36">
        <v>665</v>
      </c>
    </row>
    <row r="37" spans="1:16" ht="21" x14ac:dyDescent="0.5">
      <c r="A37" s="5">
        <v>2499</v>
      </c>
      <c r="B37" s="5" t="s">
        <v>5</v>
      </c>
      <c r="C37" s="5" t="s">
        <v>34</v>
      </c>
      <c r="D37" s="5" t="s">
        <v>8</v>
      </c>
      <c r="E37" s="5">
        <v>30</v>
      </c>
      <c r="F37" s="5">
        <v>50</v>
      </c>
      <c r="G37" s="5">
        <f t="shared" si="1"/>
        <v>1500</v>
      </c>
      <c r="K37" s="7" t="s">
        <v>22</v>
      </c>
      <c r="L37">
        <v>520</v>
      </c>
      <c r="M37">
        <v>505</v>
      </c>
      <c r="N37">
        <v>21</v>
      </c>
      <c r="O37">
        <v>54</v>
      </c>
      <c r="P37">
        <v>1100</v>
      </c>
    </row>
    <row r="38" spans="1:16" ht="21" x14ac:dyDescent="0.5">
      <c r="A38" s="5">
        <v>3093</v>
      </c>
      <c r="B38" s="5" t="s">
        <v>32</v>
      </c>
      <c r="C38" s="5" t="s">
        <v>35</v>
      </c>
      <c r="D38" s="5" t="s">
        <v>9</v>
      </c>
      <c r="E38" s="5">
        <v>30</v>
      </c>
      <c r="F38" s="5">
        <v>50</v>
      </c>
      <c r="G38" s="5">
        <f t="shared" si="1"/>
        <v>1500</v>
      </c>
      <c r="K38" s="7" t="s">
        <v>23</v>
      </c>
      <c r="M38">
        <v>520</v>
      </c>
      <c r="O38">
        <v>526</v>
      </c>
      <c r="P38">
        <v>1046</v>
      </c>
    </row>
    <row r="39" spans="1:16" ht="21" x14ac:dyDescent="0.5">
      <c r="A39" s="5">
        <v>3291</v>
      </c>
      <c r="B39" s="5" t="s">
        <v>5</v>
      </c>
      <c r="C39" s="5" t="s">
        <v>35</v>
      </c>
      <c r="D39" s="5" t="s">
        <v>9</v>
      </c>
      <c r="E39" s="5">
        <v>30</v>
      </c>
      <c r="F39" s="5">
        <v>50</v>
      </c>
      <c r="G39" s="5">
        <f t="shared" si="1"/>
        <v>1500</v>
      </c>
      <c r="K39" s="7" t="s">
        <v>24</v>
      </c>
      <c r="L39">
        <v>2</v>
      </c>
      <c r="O39">
        <v>35</v>
      </c>
      <c r="P39">
        <v>37</v>
      </c>
    </row>
    <row r="40" spans="1:16" ht="21" x14ac:dyDescent="0.5">
      <c r="A40" s="5">
        <v>4677</v>
      </c>
      <c r="B40" s="5" t="s">
        <v>5</v>
      </c>
      <c r="C40" s="5" t="s">
        <v>34</v>
      </c>
      <c r="D40" s="5" t="s">
        <v>11</v>
      </c>
      <c r="E40" s="5">
        <v>39</v>
      </c>
      <c r="F40" s="5">
        <v>50</v>
      </c>
      <c r="G40" s="5">
        <f t="shared" si="1"/>
        <v>1950</v>
      </c>
      <c r="K40" s="7" t="s">
        <v>25</v>
      </c>
      <c r="M40">
        <v>35</v>
      </c>
      <c r="N40">
        <v>54</v>
      </c>
      <c r="O40">
        <v>30</v>
      </c>
      <c r="P40">
        <v>119</v>
      </c>
    </row>
    <row r="41" spans="1:16" ht="21" x14ac:dyDescent="0.5">
      <c r="A41" s="5">
        <v>12201</v>
      </c>
      <c r="B41" s="5" t="s">
        <v>31</v>
      </c>
      <c r="C41" s="5" t="s">
        <v>34</v>
      </c>
      <c r="D41" s="5" t="s">
        <v>26</v>
      </c>
      <c r="E41" s="5">
        <v>10</v>
      </c>
      <c r="F41" s="5">
        <v>50</v>
      </c>
      <c r="G41" s="5">
        <f t="shared" si="1"/>
        <v>500</v>
      </c>
      <c r="K41" s="7" t="s">
        <v>26</v>
      </c>
      <c r="L41">
        <v>525</v>
      </c>
      <c r="M41">
        <v>50</v>
      </c>
      <c r="O41">
        <v>526</v>
      </c>
      <c r="P41">
        <v>1101</v>
      </c>
    </row>
    <row r="42" spans="1:16" ht="21" x14ac:dyDescent="0.5">
      <c r="A42" s="5">
        <v>6855</v>
      </c>
      <c r="B42" s="5" t="s">
        <v>30</v>
      </c>
      <c r="C42" s="5" t="s">
        <v>13</v>
      </c>
      <c r="D42" s="5" t="s">
        <v>16</v>
      </c>
      <c r="E42" s="5">
        <v>30</v>
      </c>
      <c r="F42" s="5">
        <v>52</v>
      </c>
      <c r="G42" s="5">
        <f t="shared" si="1"/>
        <v>1560</v>
      </c>
      <c r="K42" s="7" t="s">
        <v>39</v>
      </c>
      <c r="L42">
        <v>1345</v>
      </c>
      <c r="M42">
        <v>2386</v>
      </c>
      <c r="N42">
        <v>4308</v>
      </c>
      <c r="O42">
        <v>2278</v>
      </c>
      <c r="P42">
        <v>10317</v>
      </c>
    </row>
    <row r="43" spans="1:16" ht="21" x14ac:dyDescent="0.5">
      <c r="A43" s="5">
        <v>519</v>
      </c>
      <c r="B43" s="5" t="s">
        <v>32</v>
      </c>
      <c r="C43" s="5" t="s">
        <v>2</v>
      </c>
      <c r="D43" s="5" t="s">
        <v>3</v>
      </c>
      <c r="E43" s="5">
        <v>25</v>
      </c>
      <c r="F43" s="5">
        <v>54</v>
      </c>
      <c r="G43" s="5">
        <f t="shared" si="1"/>
        <v>1350</v>
      </c>
    </row>
    <row r="44" spans="1:16" ht="21" x14ac:dyDescent="0.5">
      <c r="A44" s="5">
        <v>915</v>
      </c>
      <c r="B44" s="5" t="s">
        <v>32</v>
      </c>
      <c r="C44" s="5" t="s">
        <v>33</v>
      </c>
      <c r="D44" s="5" t="s">
        <v>4</v>
      </c>
      <c r="E44" s="5">
        <v>25</v>
      </c>
      <c r="F44" s="5">
        <v>54</v>
      </c>
      <c r="G44" s="5">
        <f t="shared" si="1"/>
        <v>1350</v>
      </c>
    </row>
    <row r="45" spans="1:16" ht="21" x14ac:dyDescent="0.5">
      <c r="A45" s="5">
        <v>5271</v>
      </c>
      <c r="B45" s="5" t="s">
        <v>32</v>
      </c>
      <c r="C45" s="5" t="s">
        <v>33</v>
      </c>
      <c r="D45" s="5" t="s">
        <v>12</v>
      </c>
      <c r="E45" s="5">
        <v>32</v>
      </c>
      <c r="F45" s="5">
        <v>54</v>
      </c>
      <c r="G45" s="5">
        <f t="shared" si="1"/>
        <v>1728</v>
      </c>
      <c r="K45" s="6" t="s">
        <v>38</v>
      </c>
      <c r="L45" t="s">
        <v>43</v>
      </c>
      <c r="M45" t="s">
        <v>44</v>
      </c>
    </row>
    <row r="46" spans="1:16" ht="21" x14ac:dyDescent="0.5">
      <c r="A46" s="5">
        <v>6459</v>
      </c>
      <c r="B46" s="5" t="s">
        <v>32</v>
      </c>
      <c r="C46" s="5" t="s">
        <v>33</v>
      </c>
      <c r="D46" s="5" t="s">
        <v>15</v>
      </c>
      <c r="E46" s="5">
        <v>35</v>
      </c>
      <c r="F46" s="5">
        <v>54</v>
      </c>
      <c r="G46" s="5">
        <f t="shared" si="1"/>
        <v>1890</v>
      </c>
      <c r="K46" s="7" t="s">
        <v>30</v>
      </c>
      <c r="L46">
        <v>41719</v>
      </c>
      <c r="M46" s="8">
        <v>9.8750674607307534E-2</v>
      </c>
    </row>
    <row r="47" spans="1:16" ht="21" x14ac:dyDescent="0.5">
      <c r="A47" s="5">
        <v>7053</v>
      </c>
      <c r="B47" s="5" t="s">
        <v>31</v>
      </c>
      <c r="C47" s="5" t="s">
        <v>13</v>
      </c>
      <c r="D47" s="5" t="s">
        <v>16</v>
      </c>
      <c r="E47" s="5">
        <v>30</v>
      </c>
      <c r="F47" s="5">
        <v>54</v>
      </c>
      <c r="G47" s="5">
        <f t="shared" si="1"/>
        <v>1620</v>
      </c>
      <c r="K47" s="7" t="s">
        <v>31</v>
      </c>
      <c r="L47">
        <v>94994</v>
      </c>
      <c r="M47" s="8">
        <v>0.22485490025280022</v>
      </c>
    </row>
    <row r="48" spans="1:16" ht="21" x14ac:dyDescent="0.5">
      <c r="A48" s="5">
        <v>9033</v>
      </c>
      <c r="B48" s="5" t="s">
        <v>32</v>
      </c>
      <c r="C48" s="5" t="s">
        <v>2</v>
      </c>
      <c r="D48" s="5" t="s">
        <v>20</v>
      </c>
      <c r="E48" s="5">
        <v>54</v>
      </c>
      <c r="F48" s="5">
        <v>54</v>
      </c>
      <c r="G48" s="5">
        <f t="shared" si="1"/>
        <v>2916</v>
      </c>
      <c r="K48" s="7" t="s">
        <v>32</v>
      </c>
      <c r="L48">
        <v>214627</v>
      </c>
      <c r="M48" s="8">
        <v>0.5080313775244516</v>
      </c>
    </row>
    <row r="49" spans="1:15" ht="21" x14ac:dyDescent="0.5">
      <c r="A49" s="5">
        <v>10419</v>
      </c>
      <c r="B49" s="5" t="s">
        <v>5</v>
      </c>
      <c r="C49" s="5" t="s">
        <v>34</v>
      </c>
      <c r="D49" s="5" t="s">
        <v>22</v>
      </c>
      <c r="E49" s="5">
        <v>50</v>
      </c>
      <c r="F49" s="5">
        <v>54</v>
      </c>
      <c r="G49" s="5">
        <f t="shared" si="1"/>
        <v>2700</v>
      </c>
      <c r="K49" s="7" t="s">
        <v>5</v>
      </c>
      <c r="L49">
        <v>71128</v>
      </c>
      <c r="M49" s="8">
        <v>0.16836304761544069</v>
      </c>
    </row>
    <row r="50" spans="1:15" ht="21" x14ac:dyDescent="0.5">
      <c r="A50" s="5">
        <v>11607</v>
      </c>
      <c r="B50" s="5" t="s">
        <v>32</v>
      </c>
      <c r="C50" s="5" t="s">
        <v>2</v>
      </c>
      <c r="D50" s="5" t="s">
        <v>25</v>
      </c>
      <c r="E50" s="5">
        <v>35</v>
      </c>
      <c r="F50" s="5">
        <v>54</v>
      </c>
      <c r="G50" s="5">
        <f t="shared" si="1"/>
        <v>1890</v>
      </c>
      <c r="K50" s="7" t="s">
        <v>39</v>
      </c>
      <c r="L50">
        <v>422468</v>
      </c>
      <c r="M50" s="8">
        <v>1</v>
      </c>
    </row>
    <row r="51" spans="1:15" ht="21" x14ac:dyDescent="0.5">
      <c r="A51" s="5">
        <v>2895</v>
      </c>
      <c r="B51" s="5" t="s">
        <v>31</v>
      </c>
      <c r="C51" s="5" t="s">
        <v>35</v>
      </c>
      <c r="D51" s="5" t="s">
        <v>9</v>
      </c>
      <c r="E51" s="5">
        <v>30</v>
      </c>
      <c r="F51" s="5">
        <v>140</v>
      </c>
      <c r="G51" s="5">
        <f t="shared" si="1"/>
        <v>4200</v>
      </c>
    </row>
    <row r="52" spans="1:15" ht="21" x14ac:dyDescent="0.5">
      <c r="A52" s="5">
        <v>4281</v>
      </c>
      <c r="B52" s="5" t="s">
        <v>31</v>
      </c>
      <c r="C52" s="5" t="s">
        <v>34</v>
      </c>
      <c r="D52" s="5" t="s">
        <v>11</v>
      </c>
      <c r="E52" s="5">
        <v>39</v>
      </c>
      <c r="F52" s="5">
        <v>140</v>
      </c>
      <c r="G52" s="5">
        <f t="shared" si="1"/>
        <v>5460</v>
      </c>
    </row>
    <row r="53" spans="1:15" ht="21" x14ac:dyDescent="0.5">
      <c r="A53" s="5">
        <v>9627</v>
      </c>
      <c r="B53" s="5" t="s">
        <v>5</v>
      </c>
      <c r="C53" s="5" t="s">
        <v>13</v>
      </c>
      <c r="D53" s="5" t="s">
        <v>21</v>
      </c>
      <c r="E53" s="5">
        <v>52</v>
      </c>
      <c r="F53" s="5">
        <v>140</v>
      </c>
      <c r="G53" s="5">
        <f t="shared" si="1"/>
        <v>7280</v>
      </c>
      <c r="K53" s="6" t="s">
        <v>38</v>
      </c>
      <c r="L53" t="s">
        <v>41</v>
      </c>
      <c r="M53" t="s">
        <v>45</v>
      </c>
      <c r="N53" t="s">
        <v>46</v>
      </c>
      <c r="O53" t="s">
        <v>47</v>
      </c>
    </row>
    <row r="54" spans="1:15" ht="21" x14ac:dyDescent="0.5">
      <c r="A54" s="5">
        <v>7845</v>
      </c>
      <c r="B54" s="5" t="s">
        <v>31</v>
      </c>
      <c r="C54" s="5" t="s">
        <v>13</v>
      </c>
      <c r="D54" s="5" t="s">
        <v>18</v>
      </c>
      <c r="E54" s="5">
        <v>54</v>
      </c>
      <c r="F54" s="5">
        <v>250</v>
      </c>
      <c r="G54" s="5">
        <f t="shared" si="1"/>
        <v>13500</v>
      </c>
      <c r="K54" s="7" t="s">
        <v>35</v>
      </c>
      <c r="L54">
        <v>304</v>
      </c>
      <c r="M54">
        <v>30</v>
      </c>
      <c r="N54">
        <v>38</v>
      </c>
      <c r="O54">
        <v>52</v>
      </c>
    </row>
    <row r="55" spans="1:15" ht="21" x14ac:dyDescent="0.5">
      <c r="A55" s="5">
        <v>2103</v>
      </c>
      <c r="B55" s="5" t="s">
        <v>31</v>
      </c>
      <c r="C55" s="5" t="s">
        <v>34</v>
      </c>
      <c r="D55" s="5" t="s">
        <v>7</v>
      </c>
      <c r="E55" s="5">
        <v>30</v>
      </c>
      <c r="F55" s="5">
        <v>505</v>
      </c>
      <c r="G55" s="5">
        <f t="shared" si="1"/>
        <v>15150</v>
      </c>
      <c r="K55" s="7" t="s">
        <v>2</v>
      </c>
      <c r="L55">
        <v>501</v>
      </c>
      <c r="M55">
        <v>25</v>
      </c>
      <c r="N55">
        <v>38.53846153846154</v>
      </c>
      <c r="O55">
        <v>54</v>
      </c>
    </row>
    <row r="56" spans="1:15" ht="21" x14ac:dyDescent="0.5">
      <c r="A56" s="5">
        <v>7251</v>
      </c>
      <c r="B56" s="5" t="s">
        <v>5</v>
      </c>
      <c r="C56" s="5" t="s">
        <v>13</v>
      </c>
      <c r="D56" s="5" t="s">
        <v>16</v>
      </c>
      <c r="E56" s="5">
        <v>30</v>
      </c>
      <c r="F56" s="5">
        <v>505</v>
      </c>
      <c r="G56" s="5">
        <f t="shared" si="1"/>
        <v>15150</v>
      </c>
      <c r="K56" s="7" t="s">
        <v>34</v>
      </c>
      <c r="L56">
        <v>596</v>
      </c>
      <c r="M56">
        <v>10</v>
      </c>
      <c r="N56">
        <v>33.111111111111114</v>
      </c>
      <c r="O56">
        <v>50</v>
      </c>
    </row>
    <row r="57" spans="1:15" ht="21" x14ac:dyDescent="0.5">
      <c r="A57" s="5">
        <v>10023</v>
      </c>
      <c r="B57" s="5" t="s">
        <v>31</v>
      </c>
      <c r="C57" s="5" t="s">
        <v>34</v>
      </c>
      <c r="D57" s="5" t="s">
        <v>22</v>
      </c>
      <c r="E57" s="5">
        <v>50</v>
      </c>
      <c r="F57" s="5">
        <v>505</v>
      </c>
      <c r="G57" s="5">
        <f t="shared" si="1"/>
        <v>25250</v>
      </c>
      <c r="K57" s="7" t="s">
        <v>13</v>
      </c>
      <c r="L57">
        <v>586</v>
      </c>
      <c r="M57">
        <v>30</v>
      </c>
      <c r="N57">
        <v>45.07692307692308</v>
      </c>
      <c r="O57">
        <v>54</v>
      </c>
    </row>
    <row r="58" spans="1:15" ht="21" x14ac:dyDescent="0.5">
      <c r="A58" s="5">
        <v>9825</v>
      </c>
      <c r="B58" s="5" t="s">
        <v>30</v>
      </c>
      <c r="C58" s="5" t="s">
        <v>34</v>
      </c>
      <c r="D58" s="5" t="s">
        <v>22</v>
      </c>
      <c r="E58" s="5">
        <v>50</v>
      </c>
      <c r="F58" s="5">
        <v>520</v>
      </c>
      <c r="G58" s="5">
        <f t="shared" si="1"/>
        <v>26000</v>
      </c>
      <c r="K58" s="7" t="s">
        <v>33</v>
      </c>
      <c r="L58">
        <v>343</v>
      </c>
      <c r="M58">
        <v>25</v>
      </c>
      <c r="N58">
        <v>31.181818181818183</v>
      </c>
      <c r="O58">
        <v>35</v>
      </c>
    </row>
    <row r="59" spans="1:15" ht="21" x14ac:dyDescent="0.5">
      <c r="A59" s="5">
        <v>10617</v>
      </c>
      <c r="B59" s="5" t="s">
        <v>31</v>
      </c>
      <c r="C59" s="5" t="s">
        <v>13</v>
      </c>
      <c r="D59" s="5" t="s">
        <v>23</v>
      </c>
      <c r="E59" s="5">
        <v>40</v>
      </c>
      <c r="F59" s="5">
        <v>520</v>
      </c>
      <c r="G59" s="5">
        <f t="shared" si="1"/>
        <v>20800</v>
      </c>
      <c r="K59" s="7" t="s">
        <v>39</v>
      </c>
      <c r="L59">
        <v>2330</v>
      </c>
      <c r="M59">
        <v>10</v>
      </c>
      <c r="N59">
        <v>36.984126984126981</v>
      </c>
      <c r="O59">
        <v>54</v>
      </c>
    </row>
    <row r="60" spans="1:15" ht="21" x14ac:dyDescent="0.5">
      <c r="A60" s="5">
        <v>9429</v>
      </c>
      <c r="B60" s="5" t="s">
        <v>32</v>
      </c>
      <c r="C60" s="5" t="s">
        <v>13</v>
      </c>
      <c r="D60" s="5" t="s">
        <v>21</v>
      </c>
      <c r="E60" s="5">
        <v>52</v>
      </c>
      <c r="F60" s="5">
        <v>525</v>
      </c>
      <c r="G60" s="5">
        <f t="shared" si="1"/>
        <v>27300</v>
      </c>
    </row>
    <row r="61" spans="1:15" ht="21" x14ac:dyDescent="0.5">
      <c r="A61" s="5">
        <v>12003</v>
      </c>
      <c r="B61" s="5" t="s">
        <v>30</v>
      </c>
      <c r="C61" s="5" t="s">
        <v>34</v>
      </c>
      <c r="D61" s="5" t="s">
        <v>26</v>
      </c>
      <c r="E61" s="5">
        <v>10</v>
      </c>
      <c r="F61" s="5">
        <v>525</v>
      </c>
      <c r="G61" s="5">
        <f t="shared" si="1"/>
        <v>5250</v>
      </c>
    </row>
    <row r="62" spans="1:15" ht="21" x14ac:dyDescent="0.5">
      <c r="A62" s="5">
        <v>10815</v>
      </c>
      <c r="B62" s="5" t="s">
        <v>5</v>
      </c>
      <c r="C62" s="5" t="s">
        <v>13</v>
      </c>
      <c r="D62" s="5" t="s">
        <v>23</v>
      </c>
      <c r="E62" s="5">
        <v>40</v>
      </c>
      <c r="F62" s="5">
        <v>526</v>
      </c>
      <c r="G62" s="5">
        <f t="shared" si="1"/>
        <v>21040</v>
      </c>
    </row>
    <row r="63" spans="1:15" ht="21" x14ac:dyDescent="0.5">
      <c r="A63" s="5">
        <v>12399</v>
      </c>
      <c r="B63" s="5" t="s">
        <v>5</v>
      </c>
      <c r="C63" s="5" t="s">
        <v>34</v>
      </c>
      <c r="D63" s="5" t="s">
        <v>26</v>
      </c>
      <c r="E63" s="5">
        <v>10</v>
      </c>
      <c r="F63" s="5">
        <v>526</v>
      </c>
      <c r="G63" s="5">
        <f t="shared" si="1"/>
        <v>5260</v>
      </c>
    </row>
    <row r="64" spans="1:15" ht="21" x14ac:dyDescent="0.5">
      <c r="A64" s="5">
        <v>7449</v>
      </c>
      <c r="B64" s="5" t="s">
        <v>32</v>
      </c>
      <c r="C64" s="5" t="s">
        <v>35</v>
      </c>
      <c r="D64" s="5" t="s">
        <v>17</v>
      </c>
      <c r="E64" s="5">
        <v>52</v>
      </c>
      <c r="F64" s="5">
        <v>3225</v>
      </c>
      <c r="G64" s="5">
        <f t="shared" si="1"/>
        <v>167700</v>
      </c>
    </row>
  </sheetData>
  <phoneticPr fontId="2" type="noConversion"/>
  <conditionalFormatting pivot="1" sqref="N54:N58">
    <cfRule type="cellIs" dxfId="0" priority="2" operator="greaterThan">
      <formula>38.12937063</formula>
    </cfRule>
  </conditionalFormatting>
  <conditionalFormatting pivot="1" sqref="N54:N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verticalDpi="0" r:id="rId5"/>
  <headerFooter alignWithMargins="0">
    <oddHeader>&amp;A</oddHeader>
    <oddFooter>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Фильмы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Z0nik2 |</cp:lastModifiedBy>
  <dcterms:created xsi:type="dcterms:W3CDTF">1997-11-19T20:11:18Z</dcterms:created>
  <dcterms:modified xsi:type="dcterms:W3CDTF">2024-10-24T09:22:35Z</dcterms:modified>
</cp:coreProperties>
</file>